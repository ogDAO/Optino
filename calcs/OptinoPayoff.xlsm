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ok/Projects/Optino/calcs/"/>
    </mc:Choice>
  </mc:AlternateContent>
  <xr:revisionPtr revIDLastSave="0" documentId="13_ncr:1_{E92AB59F-B0A5-CD4F-A898-D70DA284AFAA}" xr6:coauthVersionLast="36" xr6:coauthVersionMax="36" xr10:uidLastSave="{00000000-0000-0000-0000-000000000000}"/>
  <bookViews>
    <workbookView xWindow="0" yWindow="480" windowWidth="27940" windowHeight="17540" xr2:uid="{75C5DED3-59A3-6145-835C-E176A509B870}"/>
  </bookViews>
  <sheets>
    <sheet name="BoundedOptinos" sheetId="3" r:id="rId1"/>
    <sheet name="CallFormula" sheetId="1" r:id="rId2"/>
    <sheet name="PutFormula" sheetId="2" r:id="rId3"/>
  </sheets>
  <functionGroups builtInGroupCount="19"/>
  <definedNames>
    <definedName name="_xlchart.v1.0" hidden="1">BoundedOptinos!$C$38</definedName>
    <definedName name="_xlchart.v1.1" hidden="1">BoundedOptinos!$C$39</definedName>
    <definedName name="_xlchart.v1.10" hidden="1">BoundedOptinos!$D$37:$X$37</definedName>
    <definedName name="_xlchart.v1.11" hidden="1">BoundedOptinos!$D$38:$X$38</definedName>
    <definedName name="_xlchart.v1.12" hidden="1">BoundedOptinos!$D$39:$X$39</definedName>
    <definedName name="_xlchart.v1.13" hidden="1">BoundedOptinos!$D$40:$X$40</definedName>
    <definedName name="_xlchart.v1.14" hidden="1">BoundedOptinos!$C$44</definedName>
    <definedName name="_xlchart.v1.15" hidden="1">BoundedOptinos!$C$45</definedName>
    <definedName name="_xlchart.v1.16" hidden="1">BoundedOptinos!$C$46</definedName>
    <definedName name="_xlchart.v1.17" hidden="1">BoundedOptinos!$D$43:$X$43</definedName>
    <definedName name="_xlchart.v1.18" hidden="1">BoundedOptinos!$D$44:$X$44</definedName>
    <definedName name="_xlchart.v1.19" hidden="1">BoundedOptinos!$D$45:$X$45</definedName>
    <definedName name="_xlchart.v1.2" hidden="1">BoundedOptinos!$C$40</definedName>
    <definedName name="_xlchart.v1.20" hidden="1">BoundedOptinos!$D$46:$X$46</definedName>
    <definedName name="_xlchart.v1.21" hidden="1">BoundedOptinos!$C$38</definedName>
    <definedName name="_xlchart.v1.22" hidden="1">BoundedOptinos!$C$39</definedName>
    <definedName name="_xlchart.v1.23" hidden="1">BoundedOptinos!$C$40</definedName>
    <definedName name="_xlchart.v1.24" hidden="1">BoundedOptinos!$D$37:$X$37</definedName>
    <definedName name="_xlchart.v1.25" hidden="1">BoundedOptinos!$D$38:$X$38</definedName>
    <definedName name="_xlchart.v1.26" hidden="1">BoundedOptinos!$D$39:$X$39</definedName>
    <definedName name="_xlchart.v1.27" hidden="1">BoundedOptinos!$D$40:$X$40</definedName>
    <definedName name="_xlchart.v1.3" hidden="1">BoundedOptinos!$D$37:$X$37</definedName>
    <definedName name="_xlchart.v1.4" hidden="1">BoundedOptinos!$D$38:$X$38</definedName>
    <definedName name="_xlchart.v1.5" hidden="1">BoundedOptinos!$D$39:$X$39</definedName>
    <definedName name="_xlchart.v1.6" hidden="1">BoundedOptinos!$D$40:$X$40</definedName>
    <definedName name="_xlchart.v1.7" hidden="1">BoundedOptinos!$C$38</definedName>
    <definedName name="_xlchart.v1.8" hidden="1">BoundedOptinos!$C$39</definedName>
    <definedName name="_xlchart.v1.9" hidden="1">BoundedOptinos!$C$40</definedName>
    <definedName name="BASEDECIMALS" localSheetId="2">PutFormula!$C$30</definedName>
    <definedName name="BASEDECIMALS">CallFormula!$C$30</definedName>
    <definedName name="BASETOKENS" localSheetId="2">PutFormula!$C$27</definedName>
    <definedName name="BASETOKENS">CallFormula!$C$27</definedName>
    <definedName name="RATEDECIMALS">CallFormula!$C$31</definedName>
    <definedName name="STRIKE" localSheetId="2">PutFormula!$C$28</definedName>
    <definedName name="STRIKE">CallFormula!$C$28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" i="3" l="1"/>
  <c r="E43" i="3"/>
  <c r="D43" i="3"/>
  <c r="E37" i="3"/>
  <c r="D37" i="3"/>
  <c r="F9" i="3" l="1"/>
  <c r="D4" i="3"/>
  <c r="D3" i="3"/>
  <c r="D2" i="3"/>
  <c r="D1" i="3"/>
  <c r="E10" i="3"/>
  <c r="D10" i="3"/>
  <c r="E23" i="3" a="1"/>
  <c r="D23" i="3" a="1"/>
  <c r="E11" i="3" a="1"/>
  <c r="D11" i="3" a="1"/>
  <c r="F10" i="3" l="1"/>
  <c r="F43" i="3"/>
  <c r="F37" i="3"/>
  <c r="G9" i="3"/>
  <c r="E28" i="3"/>
  <c r="E34" i="3" s="1"/>
  <c r="E24" i="3"/>
  <c r="E27" i="3"/>
  <c r="E23" i="3"/>
  <c r="E26" i="3"/>
  <c r="E25" i="3"/>
  <c r="D23" i="3"/>
  <c r="D29" i="3" s="1"/>
  <c r="D44" i="3" s="1"/>
  <c r="D27" i="3"/>
  <c r="D24" i="3"/>
  <c r="D28" i="3"/>
  <c r="D34" i="3" s="1"/>
  <c r="D25" i="3"/>
  <c r="D26" i="3"/>
  <c r="E16" i="3"/>
  <c r="E22" i="3" s="1"/>
  <c r="E12" i="3"/>
  <c r="E18" i="3" s="1"/>
  <c r="E39" i="3" s="1"/>
  <c r="E13" i="3"/>
  <c r="E19" i="3" s="1"/>
  <c r="E40" i="3" s="1"/>
  <c r="E15" i="3"/>
  <c r="E21" i="3" s="1"/>
  <c r="E11" i="3"/>
  <c r="E17" i="3" s="1"/>
  <c r="E38" i="3" s="1"/>
  <c r="E14" i="3"/>
  <c r="E20" i="3" s="1"/>
  <c r="E41" i="3" s="1"/>
  <c r="D14" i="3"/>
  <c r="D20" i="3" s="1"/>
  <c r="D41" i="3" s="1"/>
  <c r="D11" i="3"/>
  <c r="D17" i="3" s="1"/>
  <c r="D38" i="3" s="1"/>
  <c r="D15" i="3"/>
  <c r="D21" i="3" s="1"/>
  <c r="D12" i="3"/>
  <c r="D18" i="3" s="1"/>
  <c r="D39" i="3" s="1"/>
  <c r="D16" i="3"/>
  <c r="D22" i="3" s="1"/>
  <c r="D13" i="3"/>
  <c r="D19" i="3" s="1"/>
  <c r="D40" i="3" s="1"/>
  <c r="F33" i="2"/>
  <c r="F11" i="3" a="1"/>
  <c r="F23" i="3" a="1"/>
  <c r="F23" i="3" l="1"/>
  <c r="F24" i="3"/>
  <c r="F30" i="3" s="1"/>
  <c r="F45" i="3" s="1"/>
  <c r="F28" i="3"/>
  <c r="F34" i="3" s="1"/>
  <c r="F26" i="3"/>
  <c r="F32" i="3" s="1"/>
  <c r="F25" i="3"/>
  <c r="F31" i="3" s="1"/>
  <c r="F46" i="3" s="1"/>
  <c r="F27" i="3"/>
  <c r="F12" i="3"/>
  <c r="F18" i="3" s="1"/>
  <c r="F39" i="3" s="1"/>
  <c r="F13" i="3"/>
  <c r="F19" i="3" s="1"/>
  <c r="F40" i="3" s="1"/>
  <c r="F15" i="3"/>
  <c r="F21" i="3" s="1"/>
  <c r="F11" i="3"/>
  <c r="F17" i="3" s="1"/>
  <c r="F38" i="3" s="1"/>
  <c r="F16" i="3"/>
  <c r="F22" i="3" s="1"/>
  <c r="F14" i="3"/>
  <c r="F20" i="3" s="1"/>
  <c r="F41" i="3" s="1"/>
  <c r="H9" i="3"/>
  <c r="G37" i="3"/>
  <c r="G43" i="3"/>
  <c r="G10" i="3"/>
  <c r="H10" i="3"/>
  <c r="D30" i="3"/>
  <c r="D45" i="3" s="1"/>
  <c r="E32" i="3"/>
  <c r="F33" i="3"/>
  <c r="D32" i="3"/>
  <c r="D33" i="3"/>
  <c r="E29" i="3"/>
  <c r="E44" i="3" s="1"/>
  <c r="D31" i="3"/>
  <c r="D46" i="3" s="1"/>
  <c r="E33" i="3"/>
  <c r="E31" i="3"/>
  <c r="E46" i="3" s="1"/>
  <c r="E30" i="3"/>
  <c r="E45" i="3" s="1"/>
  <c r="F29" i="3"/>
  <c r="F44" i="3" s="1"/>
  <c r="T46" i="2"/>
  <c r="S46" i="2"/>
  <c r="R46" i="2"/>
  <c r="Q46" i="2"/>
  <c r="P46" i="2"/>
  <c r="O46" i="2"/>
  <c r="N46" i="2"/>
  <c r="M46" i="2"/>
  <c r="L46" i="2"/>
  <c r="E46" i="2"/>
  <c r="D46" i="2"/>
  <c r="C46" i="2"/>
  <c r="T38" i="2"/>
  <c r="S38" i="2"/>
  <c r="R38" i="2"/>
  <c r="Q38" i="2"/>
  <c r="P38" i="2"/>
  <c r="O38" i="2"/>
  <c r="N38" i="2"/>
  <c r="M38" i="2"/>
  <c r="L38" i="2"/>
  <c r="E38" i="2"/>
  <c r="D38" i="2"/>
  <c r="C38" i="2"/>
  <c r="Q60" i="2"/>
  <c r="M60" i="2"/>
  <c r="E60" i="2"/>
  <c r="T59" i="2"/>
  <c r="S59" i="2"/>
  <c r="R59" i="2"/>
  <c r="Q59" i="2"/>
  <c r="P59" i="2"/>
  <c r="O59" i="2"/>
  <c r="N59" i="2"/>
  <c r="M59" i="2"/>
  <c r="L59" i="2"/>
  <c r="E59" i="2"/>
  <c r="D59" i="2"/>
  <c r="T58" i="2"/>
  <c r="T60" i="2" s="1"/>
  <c r="S58" i="2"/>
  <c r="S60" i="2" s="1"/>
  <c r="R58" i="2"/>
  <c r="R60" i="2" s="1"/>
  <c r="Q58" i="2"/>
  <c r="P58" i="2"/>
  <c r="P60" i="2" s="1"/>
  <c r="O58" i="2"/>
  <c r="O60" i="2" s="1"/>
  <c r="N58" i="2"/>
  <c r="N60" i="2" s="1"/>
  <c r="M58" i="2"/>
  <c r="L58" i="2"/>
  <c r="L60" i="2" s="1"/>
  <c r="E58" i="2"/>
  <c r="D58" i="2"/>
  <c r="D60" i="2" s="1"/>
  <c r="T44" i="2"/>
  <c r="S44" i="2"/>
  <c r="R44" i="2"/>
  <c r="Q44" i="2"/>
  <c r="Q48" i="2" s="1"/>
  <c r="Q50" i="2" s="1"/>
  <c r="P44" i="2"/>
  <c r="O44" i="2"/>
  <c r="N44" i="2"/>
  <c r="M44" i="2"/>
  <c r="M48" i="2" s="1"/>
  <c r="M50" i="2" s="1"/>
  <c r="L44" i="2"/>
  <c r="E44" i="2"/>
  <c r="E48" i="2" s="1"/>
  <c r="E50" i="2" s="1"/>
  <c r="D44" i="2"/>
  <c r="C44" i="2"/>
  <c r="C58" i="2"/>
  <c r="T48" i="2"/>
  <c r="S48" i="2"/>
  <c r="R48" i="2"/>
  <c r="P48" i="2"/>
  <c r="O48" i="2"/>
  <c r="N48" i="2"/>
  <c r="L48" i="2"/>
  <c r="D48" i="2"/>
  <c r="C48" i="2"/>
  <c r="D29" i="1"/>
  <c r="T40" i="2"/>
  <c r="S40" i="2"/>
  <c r="R40" i="2"/>
  <c r="Q40" i="2"/>
  <c r="P40" i="2"/>
  <c r="O40" i="2"/>
  <c r="N40" i="2"/>
  <c r="M40" i="2"/>
  <c r="L40" i="2"/>
  <c r="E40" i="2"/>
  <c r="D40" i="2"/>
  <c r="C31" i="2"/>
  <c r="D29" i="2"/>
  <c r="T36" i="2"/>
  <c r="S36" i="2"/>
  <c r="R36" i="2"/>
  <c r="Q36" i="2"/>
  <c r="P36" i="2"/>
  <c r="O36" i="2"/>
  <c r="N36" i="2"/>
  <c r="M36" i="2"/>
  <c r="L36" i="2"/>
  <c r="E36" i="2"/>
  <c r="D36" i="2"/>
  <c r="C36" i="2"/>
  <c r="C40" i="2" s="1"/>
  <c r="T57" i="2"/>
  <c r="S57" i="2"/>
  <c r="R57" i="2"/>
  <c r="Q57" i="2"/>
  <c r="P57" i="2"/>
  <c r="O57" i="2"/>
  <c r="N57" i="2"/>
  <c r="M57" i="2"/>
  <c r="L57" i="2"/>
  <c r="D57" i="2"/>
  <c r="C57" i="2"/>
  <c r="T34" i="2"/>
  <c r="S34" i="2"/>
  <c r="R34" i="2"/>
  <c r="Q34" i="2"/>
  <c r="P34" i="2"/>
  <c r="O34" i="2"/>
  <c r="N34" i="2"/>
  <c r="M34" i="2"/>
  <c r="L34" i="2"/>
  <c r="E34" i="2"/>
  <c r="D34" i="2"/>
  <c r="C34" i="2"/>
  <c r="E33" i="2"/>
  <c r="E57" i="2" s="1"/>
  <c r="C28" i="2"/>
  <c r="C27" i="2"/>
  <c r="M42" i="2" s="1"/>
  <c r="F33" i="1"/>
  <c r="F57" i="1" s="1"/>
  <c r="E33" i="1"/>
  <c r="D57" i="1"/>
  <c r="E57" i="1"/>
  <c r="C57" i="1"/>
  <c r="C34" i="1"/>
  <c r="C28" i="1"/>
  <c r="C27" i="1"/>
  <c r="E34" i="1"/>
  <c r="E36" i="1" s="1"/>
  <c r="E40" i="1" s="1"/>
  <c r="D34" i="1"/>
  <c r="G23" i="3" a="1"/>
  <c r="G11" i="3" a="1"/>
  <c r="H23" i="3" a="1"/>
  <c r="H11" i="3" a="1"/>
  <c r="I9" i="3" l="1"/>
  <c r="H43" i="3"/>
  <c r="H37" i="3"/>
  <c r="H15" i="3"/>
  <c r="H21" i="3" s="1"/>
  <c r="H14" i="3"/>
  <c r="H20" i="3" s="1"/>
  <c r="H41" i="3" s="1"/>
  <c r="H12" i="3"/>
  <c r="H18" i="3" s="1"/>
  <c r="H39" i="3" s="1"/>
  <c r="H16" i="3"/>
  <c r="H22" i="3" s="1"/>
  <c r="H11" i="3"/>
  <c r="H17" i="3" s="1"/>
  <c r="H38" i="3" s="1"/>
  <c r="H13" i="3"/>
  <c r="H19" i="3" s="1"/>
  <c r="H40" i="3" s="1"/>
  <c r="H23" i="3"/>
  <c r="H29" i="3" s="1"/>
  <c r="H44" i="3" s="1"/>
  <c r="H25" i="3"/>
  <c r="H31" i="3" s="1"/>
  <c r="H46" i="3" s="1"/>
  <c r="H28" i="3"/>
  <c r="H34" i="3" s="1"/>
  <c r="H27" i="3"/>
  <c r="H26" i="3"/>
  <c r="H32" i="3" s="1"/>
  <c r="H24" i="3"/>
  <c r="H30" i="3" s="1"/>
  <c r="H45" i="3" s="1"/>
  <c r="G11" i="3"/>
  <c r="G17" i="3" s="1"/>
  <c r="G38" i="3" s="1"/>
  <c r="G12" i="3"/>
  <c r="G18" i="3" s="1"/>
  <c r="G39" i="3" s="1"/>
  <c r="G15" i="3"/>
  <c r="G21" i="3" s="1"/>
  <c r="G13" i="3"/>
  <c r="G19" i="3" s="1"/>
  <c r="G40" i="3" s="1"/>
  <c r="G16" i="3"/>
  <c r="G22" i="3" s="1"/>
  <c r="G14" i="3"/>
  <c r="G20" i="3" s="1"/>
  <c r="G41" i="3" s="1"/>
  <c r="G24" i="3"/>
  <c r="G30" i="3" s="1"/>
  <c r="G45" i="3" s="1"/>
  <c r="G28" i="3"/>
  <c r="G34" i="3" s="1"/>
  <c r="G25" i="3"/>
  <c r="G31" i="3" s="1"/>
  <c r="G46" i="3" s="1"/>
  <c r="G27" i="3"/>
  <c r="G23" i="3"/>
  <c r="G29" i="3" s="1"/>
  <c r="G44" i="3" s="1"/>
  <c r="G26" i="3"/>
  <c r="G32" i="3" s="1"/>
  <c r="G33" i="3"/>
  <c r="H33" i="3"/>
  <c r="E38" i="1"/>
  <c r="N42" i="2"/>
  <c r="R42" i="2"/>
  <c r="O42" i="2"/>
  <c r="S42" i="2"/>
  <c r="N50" i="2"/>
  <c r="T50" i="2"/>
  <c r="R50" i="2"/>
  <c r="C42" i="2"/>
  <c r="D42" i="2"/>
  <c r="L42" i="2"/>
  <c r="P42" i="2"/>
  <c r="T42" i="2"/>
  <c r="Q42" i="2"/>
  <c r="C50" i="2"/>
  <c r="O50" i="2"/>
  <c r="S50" i="2"/>
  <c r="E42" i="2"/>
  <c r="D50" i="2"/>
  <c r="L50" i="2"/>
  <c r="P50" i="2"/>
  <c r="E42" i="1"/>
  <c r="M35" i="2"/>
  <c r="E35" i="2"/>
  <c r="F57" i="2"/>
  <c r="F34" i="2"/>
  <c r="F36" i="2" s="1"/>
  <c r="G33" i="2"/>
  <c r="D35" i="2"/>
  <c r="F34" i="1"/>
  <c r="F36" i="1" s="1"/>
  <c r="G33" i="1"/>
  <c r="E35" i="1"/>
  <c r="E39" i="1"/>
  <c r="E58" i="1" s="1"/>
  <c r="D36" i="1"/>
  <c r="E44" i="1"/>
  <c r="C36" i="1"/>
  <c r="C38" i="1" s="1"/>
  <c r="J9" i="3" l="1"/>
  <c r="I37" i="3"/>
  <c r="I43" i="3"/>
  <c r="I10" i="3"/>
  <c r="E48" i="1"/>
  <c r="E50" i="1" s="1"/>
  <c r="E46" i="1"/>
  <c r="D40" i="1"/>
  <c r="D42" i="1" s="1"/>
  <c r="D38" i="1"/>
  <c r="F40" i="1"/>
  <c r="F42" i="1" s="1"/>
  <c r="F38" i="1"/>
  <c r="F38" i="2"/>
  <c r="F44" i="2"/>
  <c r="F40" i="2"/>
  <c r="F42" i="2" s="1"/>
  <c r="C44" i="1"/>
  <c r="C43" i="1" s="1"/>
  <c r="C40" i="1"/>
  <c r="C42" i="1" s="1"/>
  <c r="N43" i="2"/>
  <c r="N45" i="2" s="1"/>
  <c r="M43" i="2"/>
  <c r="M45" i="2" s="1"/>
  <c r="D43" i="2"/>
  <c r="D45" i="2" s="1"/>
  <c r="P35" i="2"/>
  <c r="O43" i="2"/>
  <c r="O45" i="2" s="1"/>
  <c r="E37" i="2"/>
  <c r="R35" i="2"/>
  <c r="S35" i="2"/>
  <c r="Q35" i="2"/>
  <c r="D51" i="2"/>
  <c r="D55" i="2" s="1"/>
  <c r="D37" i="2"/>
  <c r="L35" i="2"/>
  <c r="G57" i="2"/>
  <c r="G34" i="2"/>
  <c r="G36" i="2" s="1"/>
  <c r="H33" i="2"/>
  <c r="E41" i="2"/>
  <c r="E39" i="2"/>
  <c r="N35" i="2"/>
  <c r="C35" i="2"/>
  <c r="O35" i="2"/>
  <c r="E43" i="2"/>
  <c r="E45" i="2" s="1"/>
  <c r="M37" i="2"/>
  <c r="D41" i="2"/>
  <c r="D39" i="2"/>
  <c r="T35" i="2"/>
  <c r="M41" i="2"/>
  <c r="M39" i="2"/>
  <c r="H33" i="1"/>
  <c r="G34" i="1"/>
  <c r="G57" i="1"/>
  <c r="F35" i="1"/>
  <c r="F39" i="1"/>
  <c r="F58" i="1" s="1"/>
  <c r="D35" i="1"/>
  <c r="E43" i="1"/>
  <c r="E49" i="1"/>
  <c r="F44" i="1"/>
  <c r="E41" i="1"/>
  <c r="C35" i="1"/>
  <c r="D44" i="1"/>
  <c r="I23" i="3" a="1"/>
  <c r="I11" i="3" a="1"/>
  <c r="I11" i="3" l="1"/>
  <c r="I17" i="3" s="1"/>
  <c r="I38" i="3" s="1"/>
  <c r="I13" i="3"/>
  <c r="I19" i="3" s="1"/>
  <c r="I40" i="3" s="1"/>
  <c r="I15" i="3"/>
  <c r="I21" i="3" s="1"/>
  <c r="I16" i="3"/>
  <c r="I22" i="3" s="1"/>
  <c r="I12" i="3"/>
  <c r="I18" i="3" s="1"/>
  <c r="I39" i="3" s="1"/>
  <c r="I14" i="3"/>
  <c r="I20" i="3" s="1"/>
  <c r="I41" i="3" s="1"/>
  <c r="I27" i="3"/>
  <c r="I33" i="3" s="1"/>
  <c r="I26" i="3"/>
  <c r="I32" i="3" s="1"/>
  <c r="I25" i="3"/>
  <c r="I31" i="3" s="1"/>
  <c r="I46" i="3" s="1"/>
  <c r="I28" i="3"/>
  <c r="I34" i="3" s="1"/>
  <c r="I23" i="3"/>
  <c r="I29" i="3" s="1"/>
  <c r="I44" i="3" s="1"/>
  <c r="I24" i="3"/>
  <c r="I30" i="3" s="1"/>
  <c r="I45" i="3" s="1"/>
  <c r="K9" i="3"/>
  <c r="J43" i="3"/>
  <c r="J37" i="3"/>
  <c r="J10" i="3"/>
  <c r="D48" i="1"/>
  <c r="D50" i="1" s="1"/>
  <c r="D46" i="1"/>
  <c r="F48" i="1"/>
  <c r="F50" i="1" s="1"/>
  <c r="F46" i="1"/>
  <c r="E45" i="1"/>
  <c r="C48" i="1"/>
  <c r="C50" i="1" s="1"/>
  <c r="C46" i="1"/>
  <c r="C45" i="1" s="1"/>
  <c r="D39" i="1"/>
  <c r="D58" i="1" s="1"/>
  <c r="G40" i="2"/>
  <c r="G42" i="2" s="1"/>
  <c r="G38" i="2"/>
  <c r="G44" i="2"/>
  <c r="F48" i="2"/>
  <c r="F50" i="2" s="1"/>
  <c r="F46" i="2"/>
  <c r="M51" i="2"/>
  <c r="M55" i="2" s="1"/>
  <c r="M52" i="2"/>
  <c r="D52" i="2"/>
  <c r="C39" i="1"/>
  <c r="C58" i="1" s="1"/>
  <c r="T43" i="2"/>
  <c r="T45" i="2" s="1"/>
  <c r="C43" i="2"/>
  <c r="F35" i="2"/>
  <c r="F58" i="2" s="1"/>
  <c r="O51" i="2"/>
  <c r="O55" i="2" s="1"/>
  <c r="O37" i="2"/>
  <c r="O52" i="2" s="1"/>
  <c r="C37" i="2"/>
  <c r="L39" i="2"/>
  <c r="L41" i="2"/>
  <c r="S41" i="2"/>
  <c r="S39" i="2"/>
  <c r="E51" i="2"/>
  <c r="E55" i="2" s="1"/>
  <c r="P39" i="2"/>
  <c r="P41" i="2"/>
  <c r="M47" i="2"/>
  <c r="M49" i="2"/>
  <c r="M54" i="2" s="1"/>
  <c r="T37" i="2"/>
  <c r="R43" i="2"/>
  <c r="R45" i="2" s="1"/>
  <c r="O41" i="2"/>
  <c r="O39" i="2"/>
  <c r="N51" i="2"/>
  <c r="N55" i="2" s="1"/>
  <c r="N37" i="2"/>
  <c r="N52" i="2" s="1"/>
  <c r="H57" i="2"/>
  <c r="H34" i="2"/>
  <c r="H36" i="2" s="1"/>
  <c r="I33" i="2"/>
  <c r="L43" i="2"/>
  <c r="L45" i="2" s="1"/>
  <c r="Q37" i="2"/>
  <c r="R51" i="2"/>
  <c r="R55" i="2" s="1"/>
  <c r="R37" i="2"/>
  <c r="P37" i="2"/>
  <c r="S43" i="2"/>
  <c r="S45" i="2" s="1"/>
  <c r="E47" i="2"/>
  <c r="E49" i="2"/>
  <c r="E54" i="2" s="1"/>
  <c r="Q43" i="2"/>
  <c r="Q45" i="2" s="1"/>
  <c r="N41" i="2"/>
  <c r="N39" i="2"/>
  <c r="L37" i="2"/>
  <c r="Q41" i="2"/>
  <c r="Q39" i="2"/>
  <c r="R41" i="2"/>
  <c r="R39" i="2"/>
  <c r="O49" i="2"/>
  <c r="O47" i="2"/>
  <c r="D47" i="2"/>
  <c r="D49" i="2"/>
  <c r="D54" i="2" s="1"/>
  <c r="T39" i="2"/>
  <c r="T41" i="2"/>
  <c r="C41" i="2"/>
  <c r="C39" i="2"/>
  <c r="S51" i="2"/>
  <c r="S55" i="2" s="1"/>
  <c r="S37" i="2"/>
  <c r="E52" i="2"/>
  <c r="P43" i="2"/>
  <c r="P45" i="2" s="1"/>
  <c r="N49" i="2"/>
  <c r="N47" i="2"/>
  <c r="H57" i="1"/>
  <c r="I33" i="1"/>
  <c r="J33" i="1" s="1"/>
  <c r="K33" i="1" s="1"/>
  <c r="H34" i="1"/>
  <c r="H36" i="1" s="1"/>
  <c r="G36" i="1"/>
  <c r="G38" i="1" s="1"/>
  <c r="E37" i="1"/>
  <c r="E52" i="1" s="1"/>
  <c r="C51" i="1"/>
  <c r="C55" i="1" s="1"/>
  <c r="D37" i="1"/>
  <c r="D41" i="1"/>
  <c r="E54" i="1"/>
  <c r="D47" i="1"/>
  <c r="D43" i="1"/>
  <c r="E51" i="1"/>
  <c r="C41" i="1"/>
  <c r="C37" i="1"/>
  <c r="F43" i="1"/>
  <c r="F47" i="1"/>
  <c r="E47" i="1"/>
  <c r="J23" i="3" a="1"/>
  <c r="J11" i="3" a="1"/>
  <c r="J12" i="3" l="1"/>
  <c r="J18" i="3" s="1"/>
  <c r="J39" i="3" s="1"/>
  <c r="J11" i="3"/>
  <c r="J17" i="3" s="1"/>
  <c r="J38" i="3" s="1"/>
  <c r="J13" i="3"/>
  <c r="J19" i="3" s="1"/>
  <c r="J40" i="3" s="1"/>
  <c r="J14" i="3"/>
  <c r="J20" i="3" s="1"/>
  <c r="J41" i="3" s="1"/>
  <c r="J15" i="3"/>
  <c r="J21" i="3" s="1"/>
  <c r="J16" i="3"/>
  <c r="J22" i="3" s="1"/>
  <c r="J26" i="3"/>
  <c r="J32" i="3" s="1"/>
  <c r="J25" i="3"/>
  <c r="J31" i="3" s="1"/>
  <c r="J46" i="3" s="1"/>
  <c r="J27" i="3"/>
  <c r="J33" i="3" s="1"/>
  <c r="J24" i="3"/>
  <c r="J30" i="3" s="1"/>
  <c r="J45" i="3" s="1"/>
  <c r="J23" i="3"/>
  <c r="J29" i="3" s="1"/>
  <c r="J44" i="3" s="1"/>
  <c r="J28" i="3"/>
  <c r="J34" i="3" s="1"/>
  <c r="L9" i="3"/>
  <c r="K37" i="3"/>
  <c r="K43" i="3"/>
  <c r="K10" i="3"/>
  <c r="H40" i="1"/>
  <c r="H42" i="1" s="1"/>
  <c r="H38" i="1"/>
  <c r="G46" i="2"/>
  <c r="G48" i="2"/>
  <c r="G50" i="2" s="1"/>
  <c r="H40" i="2"/>
  <c r="H42" i="2" s="1"/>
  <c r="H38" i="2"/>
  <c r="H44" i="2"/>
  <c r="S52" i="2"/>
  <c r="C45" i="2"/>
  <c r="C52" i="2" s="1"/>
  <c r="C59" i="2"/>
  <c r="G44" i="1"/>
  <c r="G40" i="1"/>
  <c r="G42" i="1" s="1"/>
  <c r="Q52" i="2"/>
  <c r="N54" i="2"/>
  <c r="E53" i="2"/>
  <c r="L51" i="2"/>
  <c r="L55" i="2" s="1"/>
  <c r="T51" i="2"/>
  <c r="T55" i="2" s="1"/>
  <c r="M53" i="2"/>
  <c r="C51" i="2"/>
  <c r="C55" i="2" s="1"/>
  <c r="G43" i="2"/>
  <c r="F37" i="2"/>
  <c r="Q47" i="2"/>
  <c r="Q49" i="2"/>
  <c r="Q54" i="2" s="1"/>
  <c r="P52" i="2"/>
  <c r="I57" i="2"/>
  <c r="I34" i="2"/>
  <c r="I36" i="2" s="1"/>
  <c r="J33" i="2"/>
  <c r="F41" i="2"/>
  <c r="F39" i="2"/>
  <c r="P51" i="2"/>
  <c r="P55" i="2" s="1"/>
  <c r="Q51" i="2"/>
  <c r="Q55" i="2" s="1"/>
  <c r="O53" i="2"/>
  <c r="R49" i="2"/>
  <c r="R54" i="2" s="1"/>
  <c r="R47" i="2"/>
  <c r="S49" i="2"/>
  <c r="S54" i="2" s="1"/>
  <c r="S47" i="2"/>
  <c r="F43" i="2"/>
  <c r="T47" i="2"/>
  <c r="T49" i="2"/>
  <c r="T54" i="2" s="1"/>
  <c r="G35" i="2"/>
  <c r="G58" i="2" s="1"/>
  <c r="D53" i="2"/>
  <c r="P47" i="2"/>
  <c r="P49" i="2"/>
  <c r="P54" i="2" s="1"/>
  <c r="L52" i="2"/>
  <c r="N53" i="2"/>
  <c r="R52" i="2"/>
  <c r="L47" i="2"/>
  <c r="L49" i="2"/>
  <c r="L54" i="2" s="1"/>
  <c r="O54" i="2"/>
  <c r="T52" i="2"/>
  <c r="C49" i="2"/>
  <c r="C54" i="2" s="1"/>
  <c r="C47" i="2"/>
  <c r="F49" i="1"/>
  <c r="G35" i="1"/>
  <c r="G43" i="1"/>
  <c r="H44" i="1"/>
  <c r="H35" i="1"/>
  <c r="I34" i="1"/>
  <c r="I57" i="1"/>
  <c r="E53" i="1"/>
  <c r="E59" i="1"/>
  <c r="E60" i="1" s="1"/>
  <c r="F53" i="1"/>
  <c r="F59" i="1"/>
  <c r="F60" i="1" s="1"/>
  <c r="D53" i="1"/>
  <c r="D59" i="1"/>
  <c r="D60" i="1" s="1"/>
  <c r="D51" i="1"/>
  <c r="D55" i="1" s="1"/>
  <c r="C52" i="1"/>
  <c r="F45" i="1"/>
  <c r="F51" i="1"/>
  <c r="E55" i="1"/>
  <c r="D49" i="1"/>
  <c r="D54" i="1" s="1"/>
  <c r="D45" i="1"/>
  <c r="D52" i="1" s="1"/>
  <c r="F41" i="1"/>
  <c r="F54" i="1" s="1"/>
  <c r="F37" i="1"/>
  <c r="C47" i="1"/>
  <c r="C49" i="1"/>
  <c r="C54" i="1" s="1"/>
  <c r="K23" i="3" a="1"/>
  <c r="K11" i="3" a="1"/>
  <c r="K16" i="3" l="1"/>
  <c r="K22" i="3" s="1"/>
  <c r="K13" i="3"/>
  <c r="K19" i="3" s="1"/>
  <c r="K40" i="3" s="1"/>
  <c r="K15" i="3"/>
  <c r="K21" i="3" s="1"/>
  <c r="K14" i="3"/>
  <c r="K20" i="3" s="1"/>
  <c r="K41" i="3" s="1"/>
  <c r="K12" i="3"/>
  <c r="K18" i="3" s="1"/>
  <c r="K39" i="3" s="1"/>
  <c r="K11" i="3"/>
  <c r="K17" i="3" s="1"/>
  <c r="K38" i="3" s="1"/>
  <c r="K23" i="3"/>
  <c r="K29" i="3" s="1"/>
  <c r="K44" i="3" s="1"/>
  <c r="K26" i="3"/>
  <c r="K32" i="3" s="1"/>
  <c r="K24" i="3"/>
  <c r="K30" i="3" s="1"/>
  <c r="K45" i="3" s="1"/>
  <c r="K28" i="3"/>
  <c r="K34" i="3" s="1"/>
  <c r="K25" i="3"/>
  <c r="K31" i="3" s="1"/>
  <c r="K46" i="3" s="1"/>
  <c r="K27" i="3"/>
  <c r="K33" i="3" s="1"/>
  <c r="M9" i="3"/>
  <c r="L43" i="3"/>
  <c r="L37" i="3"/>
  <c r="L10" i="3"/>
  <c r="H48" i="1"/>
  <c r="H50" i="1" s="1"/>
  <c r="H46" i="1"/>
  <c r="G48" i="1"/>
  <c r="G50" i="1" s="1"/>
  <c r="G49" i="1" s="1"/>
  <c r="G46" i="1"/>
  <c r="G45" i="1" s="1"/>
  <c r="F45" i="2"/>
  <c r="F59" i="2"/>
  <c r="F60" i="2" s="1"/>
  <c r="G60" i="2"/>
  <c r="G45" i="2"/>
  <c r="G59" i="2"/>
  <c r="I38" i="2"/>
  <c r="I44" i="2"/>
  <c r="I40" i="2"/>
  <c r="I42" i="2" s="1"/>
  <c r="H46" i="2"/>
  <c r="H48" i="2"/>
  <c r="H50" i="2" s="1"/>
  <c r="S53" i="2"/>
  <c r="T53" i="2"/>
  <c r="R53" i="2"/>
  <c r="L53" i="2"/>
  <c r="C53" i="2"/>
  <c r="H35" i="2"/>
  <c r="H58" i="2" s="1"/>
  <c r="F49" i="2"/>
  <c r="F54" i="2" s="1"/>
  <c r="F47" i="2"/>
  <c r="J57" i="2"/>
  <c r="J34" i="2"/>
  <c r="J36" i="2" s="1"/>
  <c r="K33" i="2"/>
  <c r="G39" i="2"/>
  <c r="G41" i="2"/>
  <c r="C60" i="2"/>
  <c r="P53" i="2"/>
  <c r="Q53" i="2"/>
  <c r="F51" i="2"/>
  <c r="F55" i="2" s="1"/>
  <c r="G51" i="2"/>
  <c r="G55" i="2" s="1"/>
  <c r="G37" i="2"/>
  <c r="F52" i="2"/>
  <c r="G49" i="2"/>
  <c r="G47" i="2"/>
  <c r="I36" i="1"/>
  <c r="I38" i="1" s="1"/>
  <c r="H43" i="1"/>
  <c r="G37" i="1"/>
  <c r="G51" i="1"/>
  <c r="G55" i="1" s="1"/>
  <c r="J57" i="1"/>
  <c r="J34" i="1"/>
  <c r="J36" i="1" s="1"/>
  <c r="G47" i="1"/>
  <c r="G59" i="1" s="1"/>
  <c r="H37" i="1"/>
  <c r="H41" i="1"/>
  <c r="H39" i="1"/>
  <c r="G39" i="1"/>
  <c r="G41" i="1"/>
  <c r="C53" i="1"/>
  <c r="C59" i="1"/>
  <c r="C60" i="1" s="1"/>
  <c r="F55" i="1"/>
  <c r="F52" i="1"/>
  <c r="L23" i="3" a="1"/>
  <c r="L11" i="3" a="1"/>
  <c r="L12" i="3" l="1"/>
  <c r="L18" i="3" s="1"/>
  <c r="L39" i="3" s="1"/>
  <c r="L16" i="3"/>
  <c r="L22" i="3" s="1"/>
  <c r="L15" i="3"/>
  <c r="L21" i="3" s="1"/>
  <c r="L13" i="3"/>
  <c r="L19" i="3" s="1"/>
  <c r="L40" i="3" s="1"/>
  <c r="L14" i="3"/>
  <c r="L20" i="3" s="1"/>
  <c r="L41" i="3" s="1"/>
  <c r="L11" i="3"/>
  <c r="L17" i="3" s="1"/>
  <c r="L38" i="3" s="1"/>
  <c r="L26" i="3"/>
  <c r="L32" i="3" s="1"/>
  <c r="L28" i="3"/>
  <c r="L34" i="3" s="1"/>
  <c r="L27" i="3"/>
  <c r="L33" i="3" s="1"/>
  <c r="L24" i="3"/>
  <c r="L30" i="3" s="1"/>
  <c r="L45" i="3" s="1"/>
  <c r="L23" i="3"/>
  <c r="L29" i="3" s="1"/>
  <c r="L44" i="3" s="1"/>
  <c r="L25" i="3"/>
  <c r="L31" i="3" s="1"/>
  <c r="L46" i="3" s="1"/>
  <c r="N9" i="3"/>
  <c r="M43" i="3"/>
  <c r="M37" i="3"/>
  <c r="M10" i="3"/>
  <c r="G52" i="1"/>
  <c r="H45" i="1"/>
  <c r="H52" i="1" s="1"/>
  <c r="J40" i="1"/>
  <c r="J42" i="1" s="1"/>
  <c r="J38" i="1"/>
  <c r="I48" i="2"/>
  <c r="I50" i="2" s="1"/>
  <c r="I46" i="2"/>
  <c r="J38" i="2"/>
  <c r="J44" i="2"/>
  <c r="J40" i="2"/>
  <c r="J42" i="2" s="1"/>
  <c r="G52" i="2"/>
  <c r="I44" i="1"/>
  <c r="I40" i="1"/>
  <c r="I42" i="1" s="1"/>
  <c r="G54" i="2"/>
  <c r="H43" i="2"/>
  <c r="I35" i="2"/>
  <c r="I58" i="2" s="1"/>
  <c r="G53" i="2"/>
  <c r="F53" i="2"/>
  <c r="H39" i="2"/>
  <c r="H41" i="2"/>
  <c r="K57" i="2"/>
  <c r="K34" i="2"/>
  <c r="K36" i="2" s="1"/>
  <c r="H37" i="2"/>
  <c r="G54" i="1"/>
  <c r="H51" i="1"/>
  <c r="H55" i="1" s="1"/>
  <c r="K34" i="1"/>
  <c r="K57" i="1"/>
  <c r="G58" i="1"/>
  <c r="G53" i="1"/>
  <c r="H49" i="1"/>
  <c r="H54" i="1" s="1"/>
  <c r="H47" i="1"/>
  <c r="H59" i="1" s="1"/>
  <c r="G60" i="1"/>
  <c r="J44" i="1"/>
  <c r="J35" i="1"/>
  <c r="H58" i="1"/>
  <c r="I35" i="1"/>
  <c r="M23" i="3" a="1"/>
  <c r="M11" i="3" a="1"/>
  <c r="M11" i="3" l="1"/>
  <c r="M17" i="3" s="1"/>
  <c r="M38" i="3" s="1"/>
  <c r="M13" i="3"/>
  <c r="M19" i="3" s="1"/>
  <c r="M40" i="3" s="1"/>
  <c r="M16" i="3"/>
  <c r="M22" i="3" s="1"/>
  <c r="M15" i="3"/>
  <c r="M21" i="3" s="1"/>
  <c r="M12" i="3"/>
  <c r="M18" i="3" s="1"/>
  <c r="M39" i="3" s="1"/>
  <c r="M14" i="3"/>
  <c r="M20" i="3" s="1"/>
  <c r="M41" i="3" s="1"/>
  <c r="M27" i="3"/>
  <c r="M33" i="3" s="1"/>
  <c r="M25" i="3"/>
  <c r="M31" i="3" s="1"/>
  <c r="M46" i="3" s="1"/>
  <c r="M26" i="3"/>
  <c r="M32" i="3" s="1"/>
  <c r="M23" i="3"/>
  <c r="M29" i="3" s="1"/>
  <c r="M44" i="3" s="1"/>
  <c r="M24" i="3"/>
  <c r="M30" i="3" s="1"/>
  <c r="M45" i="3" s="1"/>
  <c r="M28" i="3"/>
  <c r="M34" i="3" s="1"/>
  <c r="O9" i="3"/>
  <c r="N43" i="3"/>
  <c r="N37" i="3"/>
  <c r="N10" i="3"/>
  <c r="J48" i="1"/>
  <c r="J50" i="1" s="1"/>
  <c r="J46" i="1"/>
  <c r="I48" i="1"/>
  <c r="I50" i="1" s="1"/>
  <c r="I49" i="1" s="1"/>
  <c r="I46" i="1"/>
  <c r="K40" i="2"/>
  <c r="K42" i="2" s="1"/>
  <c r="K38" i="2"/>
  <c r="K44" i="2"/>
  <c r="H45" i="2"/>
  <c r="H52" i="2" s="1"/>
  <c r="H59" i="2"/>
  <c r="H60" i="2" s="1"/>
  <c r="J48" i="2"/>
  <c r="J50" i="2" s="1"/>
  <c r="J46" i="2"/>
  <c r="I43" i="1"/>
  <c r="I45" i="1" s="1"/>
  <c r="H53" i="1"/>
  <c r="H51" i="2"/>
  <c r="H55" i="2" s="1"/>
  <c r="J43" i="2"/>
  <c r="I43" i="2"/>
  <c r="I37" i="2"/>
  <c r="H47" i="2"/>
  <c r="H49" i="2"/>
  <c r="H54" i="2" s="1"/>
  <c r="J35" i="2"/>
  <c r="J58" i="2" s="1"/>
  <c r="I41" i="2"/>
  <c r="I39" i="2"/>
  <c r="L34" i="1"/>
  <c r="L57" i="1"/>
  <c r="H60" i="1"/>
  <c r="K36" i="1"/>
  <c r="I47" i="1"/>
  <c r="I59" i="1" s="1"/>
  <c r="I39" i="1"/>
  <c r="I41" i="1"/>
  <c r="J39" i="1"/>
  <c r="J41" i="1"/>
  <c r="J43" i="1"/>
  <c r="J45" i="1" s="1"/>
  <c r="I37" i="1"/>
  <c r="J37" i="1"/>
  <c r="N23" i="3" a="1"/>
  <c r="N11" i="3" a="1"/>
  <c r="N12" i="3" l="1"/>
  <c r="N18" i="3" s="1"/>
  <c r="N39" i="3" s="1"/>
  <c r="N16" i="3"/>
  <c r="N22" i="3" s="1"/>
  <c r="N13" i="3"/>
  <c r="N19" i="3" s="1"/>
  <c r="N40" i="3" s="1"/>
  <c r="N14" i="3"/>
  <c r="N20" i="3" s="1"/>
  <c r="N41" i="3" s="1"/>
  <c r="N15" i="3"/>
  <c r="N21" i="3" s="1"/>
  <c r="N11" i="3"/>
  <c r="N17" i="3" s="1"/>
  <c r="N38" i="3" s="1"/>
  <c r="N26" i="3"/>
  <c r="N32" i="3" s="1"/>
  <c r="N25" i="3"/>
  <c r="N31" i="3" s="1"/>
  <c r="N46" i="3" s="1"/>
  <c r="N24" i="3"/>
  <c r="N30" i="3" s="1"/>
  <c r="N45" i="3" s="1"/>
  <c r="N23" i="3"/>
  <c r="N29" i="3" s="1"/>
  <c r="N44" i="3" s="1"/>
  <c r="N28" i="3"/>
  <c r="N34" i="3" s="1"/>
  <c r="N27" i="3"/>
  <c r="N33" i="3" s="1"/>
  <c r="P9" i="3"/>
  <c r="O37" i="3"/>
  <c r="O43" i="3"/>
  <c r="O10" i="3"/>
  <c r="J51" i="1"/>
  <c r="J55" i="1" s="1"/>
  <c r="I51" i="1"/>
  <c r="I55" i="1" s="1"/>
  <c r="K40" i="1"/>
  <c r="K42" i="1" s="1"/>
  <c r="K38" i="1"/>
  <c r="I52" i="1"/>
  <c r="J45" i="2"/>
  <c r="J59" i="2"/>
  <c r="J60" i="2" s="1"/>
  <c r="K48" i="2"/>
  <c r="K50" i="2" s="1"/>
  <c r="K46" i="2"/>
  <c r="I45" i="2"/>
  <c r="I52" i="2" s="1"/>
  <c r="I59" i="2"/>
  <c r="I60" i="2" s="1"/>
  <c r="I47" i="2"/>
  <c r="I49" i="2"/>
  <c r="I54" i="2" s="1"/>
  <c r="J41" i="2"/>
  <c r="J39" i="2"/>
  <c r="I51" i="2"/>
  <c r="I55" i="2" s="1"/>
  <c r="K35" i="2"/>
  <c r="K58" i="2" s="1"/>
  <c r="J51" i="2"/>
  <c r="J55" i="2" s="1"/>
  <c r="J37" i="2"/>
  <c r="H53" i="2"/>
  <c r="J49" i="2"/>
  <c r="J47" i="2"/>
  <c r="K35" i="1"/>
  <c r="M34" i="1"/>
  <c r="M57" i="1"/>
  <c r="I54" i="1"/>
  <c r="K44" i="1"/>
  <c r="L36" i="1"/>
  <c r="L38" i="1" s="1"/>
  <c r="J58" i="1"/>
  <c r="J52" i="1"/>
  <c r="J47" i="1"/>
  <c r="J59" i="1" s="1"/>
  <c r="J49" i="1"/>
  <c r="J54" i="1" s="1"/>
  <c r="I58" i="1"/>
  <c r="I60" i="1" s="1"/>
  <c r="I53" i="1"/>
  <c r="O23" i="3" a="1"/>
  <c r="O11" i="3" a="1"/>
  <c r="O14" i="3" l="1"/>
  <c r="O20" i="3" s="1"/>
  <c r="O41" i="3" s="1"/>
  <c r="O13" i="3"/>
  <c r="O19" i="3" s="1"/>
  <c r="O40" i="3" s="1"/>
  <c r="O15" i="3"/>
  <c r="O21" i="3" s="1"/>
  <c r="O12" i="3"/>
  <c r="O18" i="3" s="1"/>
  <c r="O39" i="3" s="1"/>
  <c r="O11" i="3"/>
  <c r="O17" i="3" s="1"/>
  <c r="O38" i="3" s="1"/>
  <c r="O16" i="3"/>
  <c r="O22" i="3" s="1"/>
  <c r="O24" i="3"/>
  <c r="O30" i="3" s="1"/>
  <c r="O45" i="3" s="1"/>
  <c r="O28" i="3"/>
  <c r="O34" i="3" s="1"/>
  <c r="O27" i="3"/>
  <c r="O33" i="3" s="1"/>
  <c r="O23" i="3"/>
  <c r="O29" i="3" s="1"/>
  <c r="O44" i="3" s="1"/>
  <c r="O25" i="3"/>
  <c r="O31" i="3" s="1"/>
  <c r="O46" i="3" s="1"/>
  <c r="O26" i="3"/>
  <c r="O32" i="3" s="1"/>
  <c r="P43" i="3"/>
  <c r="Q9" i="3"/>
  <c r="P37" i="3"/>
  <c r="P10" i="3"/>
  <c r="K48" i="1"/>
  <c r="K50" i="1" s="1"/>
  <c r="K46" i="1"/>
  <c r="J52" i="2"/>
  <c r="L44" i="1"/>
  <c r="L43" i="1" s="1"/>
  <c r="L40" i="1"/>
  <c r="L42" i="1" s="1"/>
  <c r="I53" i="2"/>
  <c r="J54" i="2"/>
  <c r="K41" i="2"/>
  <c r="K39" i="2"/>
  <c r="K43" i="2"/>
  <c r="K37" i="2"/>
  <c r="J53" i="2"/>
  <c r="J60" i="1"/>
  <c r="J53" i="1"/>
  <c r="M36" i="1"/>
  <c r="M38" i="1" s="1"/>
  <c r="K43" i="1"/>
  <c r="K45" i="1" s="1"/>
  <c r="N34" i="1"/>
  <c r="N57" i="1"/>
  <c r="K41" i="1"/>
  <c r="K39" i="1"/>
  <c r="L35" i="1"/>
  <c r="K37" i="1"/>
  <c r="P23" i="3" a="1"/>
  <c r="P11" i="3" a="1"/>
  <c r="P15" i="3" l="1"/>
  <c r="P21" i="3" s="1"/>
  <c r="P12" i="3"/>
  <c r="P18" i="3" s="1"/>
  <c r="P39" i="3" s="1"/>
  <c r="P13" i="3"/>
  <c r="P19" i="3" s="1"/>
  <c r="P40" i="3" s="1"/>
  <c r="P11" i="3"/>
  <c r="P17" i="3" s="1"/>
  <c r="P38" i="3" s="1"/>
  <c r="P16" i="3"/>
  <c r="P22" i="3" s="1"/>
  <c r="P14" i="3"/>
  <c r="P20" i="3" s="1"/>
  <c r="P41" i="3" s="1"/>
  <c r="P23" i="3"/>
  <c r="P29" i="3" s="1"/>
  <c r="P44" i="3" s="1"/>
  <c r="P25" i="3"/>
  <c r="P31" i="3" s="1"/>
  <c r="P46" i="3" s="1"/>
  <c r="P26" i="3"/>
  <c r="P32" i="3" s="1"/>
  <c r="P28" i="3"/>
  <c r="P34" i="3" s="1"/>
  <c r="P27" i="3"/>
  <c r="P33" i="3" s="1"/>
  <c r="P24" i="3"/>
  <c r="P30" i="3" s="1"/>
  <c r="P45" i="3" s="1"/>
  <c r="Q10" i="3"/>
  <c r="Q37" i="3"/>
  <c r="Q43" i="3"/>
  <c r="R9" i="3"/>
  <c r="L48" i="1"/>
  <c r="L50" i="1" s="1"/>
  <c r="L49" i="1" s="1"/>
  <c r="L46" i="1"/>
  <c r="L45" i="1" s="1"/>
  <c r="K45" i="2"/>
  <c r="K59" i="2"/>
  <c r="K60" i="2" s="1"/>
  <c r="K52" i="1"/>
  <c r="M44" i="1"/>
  <c r="M40" i="1"/>
  <c r="M42" i="1" s="1"/>
  <c r="K51" i="1"/>
  <c r="K55" i="1" s="1"/>
  <c r="K52" i="2"/>
  <c r="K49" i="2"/>
  <c r="K54" i="2" s="1"/>
  <c r="K47" i="2"/>
  <c r="K51" i="2"/>
  <c r="K55" i="2" s="1"/>
  <c r="L51" i="1"/>
  <c r="L55" i="1" s="1"/>
  <c r="L37" i="1"/>
  <c r="N36" i="1"/>
  <c r="N38" i="1" s="1"/>
  <c r="K58" i="1"/>
  <c r="O34" i="1"/>
  <c r="O57" i="1"/>
  <c r="M35" i="1"/>
  <c r="K49" i="1"/>
  <c r="K54" i="1" s="1"/>
  <c r="K47" i="1"/>
  <c r="K59" i="1" s="1"/>
  <c r="L39" i="1"/>
  <c r="L41" i="1"/>
  <c r="Q23" i="3" a="1"/>
  <c r="Q11" i="3" a="1"/>
  <c r="Q11" i="3" l="1"/>
  <c r="Q17" i="3" s="1"/>
  <c r="Q38" i="3" s="1"/>
  <c r="Q15" i="3"/>
  <c r="Q21" i="3" s="1"/>
  <c r="Q14" i="3"/>
  <c r="Q20" i="3" s="1"/>
  <c r="Q41" i="3" s="1"/>
  <c r="Q12" i="3"/>
  <c r="Q18" i="3" s="1"/>
  <c r="Q39" i="3" s="1"/>
  <c r="Q13" i="3"/>
  <c r="Q19" i="3" s="1"/>
  <c r="Q40" i="3" s="1"/>
  <c r="Q16" i="3"/>
  <c r="Q22" i="3" s="1"/>
  <c r="Q24" i="3"/>
  <c r="Q30" i="3" s="1"/>
  <c r="Q45" i="3" s="1"/>
  <c r="Q23" i="3"/>
  <c r="Q29" i="3" s="1"/>
  <c r="Q44" i="3" s="1"/>
  <c r="Q26" i="3"/>
  <c r="Q32" i="3" s="1"/>
  <c r="Q25" i="3"/>
  <c r="Q31" i="3" s="1"/>
  <c r="Q46" i="3" s="1"/>
  <c r="Q28" i="3"/>
  <c r="Q34" i="3" s="1"/>
  <c r="Q27" i="3"/>
  <c r="Q33" i="3" s="1"/>
  <c r="R10" i="3"/>
  <c r="S9" i="3"/>
  <c r="R43" i="3"/>
  <c r="R37" i="3"/>
  <c r="L52" i="1"/>
  <c r="M48" i="1"/>
  <c r="M50" i="1" s="1"/>
  <c r="M46" i="1"/>
  <c r="M43" i="1"/>
  <c r="M45" i="1" s="1"/>
  <c r="L47" i="1"/>
  <c r="L59" i="1" s="1"/>
  <c r="N44" i="1"/>
  <c r="N40" i="1"/>
  <c r="N42" i="1" s="1"/>
  <c r="K53" i="2"/>
  <c r="L54" i="1"/>
  <c r="L58" i="1"/>
  <c r="L60" i="1" s="1"/>
  <c r="L53" i="1"/>
  <c r="K53" i="1"/>
  <c r="O36" i="1"/>
  <c r="O38" i="1" s="1"/>
  <c r="M41" i="1"/>
  <c r="M39" i="1"/>
  <c r="K60" i="1"/>
  <c r="M37" i="1"/>
  <c r="P34" i="1"/>
  <c r="P57" i="1"/>
  <c r="N35" i="1"/>
  <c r="M49" i="1"/>
  <c r="R23" i="3" a="1"/>
  <c r="R11" i="3" a="1"/>
  <c r="R11" i="3" l="1"/>
  <c r="R17" i="3" s="1"/>
  <c r="R38" i="3" s="1"/>
  <c r="R14" i="3"/>
  <c r="R20" i="3" s="1"/>
  <c r="R41" i="3" s="1"/>
  <c r="R16" i="3"/>
  <c r="R22" i="3" s="1"/>
  <c r="R12" i="3"/>
  <c r="R18" i="3" s="1"/>
  <c r="R39" i="3" s="1"/>
  <c r="R15" i="3"/>
  <c r="R21" i="3" s="1"/>
  <c r="R13" i="3"/>
  <c r="R19" i="3" s="1"/>
  <c r="R40" i="3" s="1"/>
  <c r="R24" i="3"/>
  <c r="R30" i="3" s="1"/>
  <c r="R45" i="3" s="1"/>
  <c r="R28" i="3"/>
  <c r="R34" i="3" s="1"/>
  <c r="R26" i="3"/>
  <c r="R32" i="3" s="1"/>
  <c r="R25" i="3"/>
  <c r="R31" i="3" s="1"/>
  <c r="R46" i="3" s="1"/>
  <c r="R23" i="3"/>
  <c r="R29" i="3" s="1"/>
  <c r="R44" i="3" s="1"/>
  <c r="R27" i="3"/>
  <c r="R33" i="3" s="1"/>
  <c r="S10" i="3"/>
  <c r="S37" i="3"/>
  <c r="S43" i="3"/>
  <c r="T9" i="3"/>
  <c r="M47" i="1"/>
  <c r="M59" i="1" s="1"/>
  <c r="M51" i="1"/>
  <c r="M55" i="1" s="1"/>
  <c r="N48" i="1"/>
  <c r="N50" i="1" s="1"/>
  <c r="N49" i="1" s="1"/>
  <c r="N46" i="1"/>
  <c r="M52" i="1"/>
  <c r="O44" i="1"/>
  <c r="O40" i="1"/>
  <c r="O42" i="1" s="1"/>
  <c r="N43" i="1"/>
  <c r="N45" i="1" s="1"/>
  <c r="M54" i="1"/>
  <c r="N41" i="1"/>
  <c r="N39" i="1"/>
  <c r="P36" i="1"/>
  <c r="O35" i="1"/>
  <c r="N37" i="1"/>
  <c r="Q34" i="1"/>
  <c r="Q57" i="1"/>
  <c r="M58" i="1"/>
  <c r="M60" i="1" s="1"/>
  <c r="S23" i="3" a="1"/>
  <c r="S11" i="3" a="1"/>
  <c r="S11" i="3" l="1"/>
  <c r="S17" i="3" s="1"/>
  <c r="S38" i="3" s="1"/>
  <c r="S15" i="3"/>
  <c r="S21" i="3" s="1"/>
  <c r="S14" i="3"/>
  <c r="S20" i="3" s="1"/>
  <c r="S41" i="3" s="1"/>
  <c r="S12" i="3"/>
  <c r="S18" i="3" s="1"/>
  <c r="S39" i="3" s="1"/>
  <c r="S13" i="3"/>
  <c r="S19" i="3" s="1"/>
  <c r="S40" i="3" s="1"/>
  <c r="S16" i="3"/>
  <c r="S22" i="3" s="1"/>
  <c r="S24" i="3"/>
  <c r="S30" i="3" s="1"/>
  <c r="S45" i="3" s="1"/>
  <c r="S28" i="3"/>
  <c r="S34" i="3" s="1"/>
  <c r="S23" i="3"/>
  <c r="S29" i="3" s="1"/>
  <c r="S44" i="3" s="1"/>
  <c r="S27" i="3"/>
  <c r="S33" i="3" s="1"/>
  <c r="S25" i="3"/>
  <c r="S31" i="3" s="1"/>
  <c r="S46" i="3" s="1"/>
  <c r="S26" i="3"/>
  <c r="S32" i="3" s="1"/>
  <c r="T10" i="3"/>
  <c r="T43" i="3"/>
  <c r="T37" i="3"/>
  <c r="U9" i="3"/>
  <c r="M53" i="1"/>
  <c r="O48" i="1"/>
  <c r="O50" i="1" s="1"/>
  <c r="O46" i="1"/>
  <c r="P40" i="1"/>
  <c r="P42" i="1" s="1"/>
  <c r="P38" i="1"/>
  <c r="N47" i="1"/>
  <c r="N59" i="1" s="1"/>
  <c r="O43" i="1"/>
  <c r="O45" i="1" s="1"/>
  <c r="N52" i="1"/>
  <c r="N51" i="1"/>
  <c r="N55" i="1" s="1"/>
  <c r="N54" i="1"/>
  <c r="R34" i="1"/>
  <c r="R57" i="1"/>
  <c r="P35" i="1"/>
  <c r="O37" i="1"/>
  <c r="O51" i="1"/>
  <c r="O55" i="1" s="1"/>
  <c r="O49" i="1"/>
  <c r="O41" i="1"/>
  <c r="O39" i="1"/>
  <c r="Q36" i="1"/>
  <c r="Q38" i="1" s="1"/>
  <c r="P44" i="1"/>
  <c r="N58" i="1"/>
  <c r="N53" i="1"/>
  <c r="T23" i="3" a="1"/>
  <c r="T11" i="3" a="1"/>
  <c r="T13" i="3" l="1"/>
  <c r="T19" i="3" s="1"/>
  <c r="T40" i="3" s="1"/>
  <c r="T16" i="3"/>
  <c r="T22" i="3" s="1"/>
  <c r="T15" i="3"/>
  <c r="T21" i="3" s="1"/>
  <c r="T11" i="3"/>
  <c r="T17" i="3" s="1"/>
  <c r="T38" i="3" s="1"/>
  <c r="T14" i="3"/>
  <c r="T20" i="3" s="1"/>
  <c r="T41" i="3" s="1"/>
  <c r="T12" i="3"/>
  <c r="T18" i="3" s="1"/>
  <c r="T39" i="3" s="1"/>
  <c r="T28" i="3"/>
  <c r="T34" i="3" s="1"/>
  <c r="T25" i="3"/>
  <c r="T31" i="3" s="1"/>
  <c r="T46" i="3" s="1"/>
  <c r="T26" i="3"/>
  <c r="T32" i="3" s="1"/>
  <c r="T24" i="3"/>
  <c r="T30" i="3" s="1"/>
  <c r="T45" i="3" s="1"/>
  <c r="T23" i="3"/>
  <c r="T29" i="3" s="1"/>
  <c r="T44" i="3" s="1"/>
  <c r="T27" i="3"/>
  <c r="T33" i="3" s="1"/>
  <c r="U10" i="3"/>
  <c r="U43" i="3"/>
  <c r="V9" i="3"/>
  <c r="U37" i="3"/>
  <c r="N60" i="1"/>
  <c r="O52" i="1"/>
  <c r="P48" i="1"/>
  <c r="P50" i="1" s="1"/>
  <c r="P46" i="1"/>
  <c r="O47" i="1"/>
  <c r="O59" i="1" s="1"/>
  <c r="Q44" i="1"/>
  <c r="Q40" i="1"/>
  <c r="Q42" i="1" s="1"/>
  <c r="O54" i="1"/>
  <c r="P39" i="1"/>
  <c r="P41" i="1"/>
  <c r="P37" i="1"/>
  <c r="P43" i="1"/>
  <c r="P45" i="1" s="1"/>
  <c r="O58" i="1"/>
  <c r="O60" i="1" s="1"/>
  <c r="S57" i="1"/>
  <c r="S34" i="1"/>
  <c r="Q35" i="1"/>
  <c r="R36" i="1"/>
  <c r="R38" i="1" s="1"/>
  <c r="U23" i="3" a="1"/>
  <c r="U11" i="3" a="1"/>
  <c r="U11" i="3" l="1"/>
  <c r="U17" i="3" s="1"/>
  <c r="U38" i="3" s="1"/>
  <c r="U15" i="3"/>
  <c r="U21" i="3" s="1"/>
  <c r="U13" i="3"/>
  <c r="U19" i="3" s="1"/>
  <c r="U40" i="3" s="1"/>
  <c r="U12" i="3"/>
  <c r="U18" i="3" s="1"/>
  <c r="U39" i="3" s="1"/>
  <c r="U14" i="3"/>
  <c r="U20" i="3" s="1"/>
  <c r="U41" i="3" s="1"/>
  <c r="U16" i="3"/>
  <c r="U22" i="3" s="1"/>
  <c r="U28" i="3"/>
  <c r="U34" i="3" s="1"/>
  <c r="U25" i="3"/>
  <c r="U31" i="3" s="1"/>
  <c r="U46" i="3" s="1"/>
  <c r="U27" i="3"/>
  <c r="U33" i="3" s="1"/>
  <c r="U24" i="3"/>
  <c r="U30" i="3" s="1"/>
  <c r="U45" i="3" s="1"/>
  <c r="U23" i="3"/>
  <c r="U29" i="3" s="1"/>
  <c r="U44" i="3" s="1"/>
  <c r="U26" i="3"/>
  <c r="U32" i="3" s="1"/>
  <c r="V10" i="3"/>
  <c r="W9" i="3"/>
  <c r="V43" i="3"/>
  <c r="V37" i="3"/>
  <c r="O53" i="1"/>
  <c r="Q48" i="1"/>
  <c r="Q50" i="1" s="1"/>
  <c r="Q46" i="1"/>
  <c r="Q43" i="1"/>
  <c r="Q45" i="1" s="1"/>
  <c r="R44" i="1"/>
  <c r="R40" i="1"/>
  <c r="R42" i="1" s="1"/>
  <c r="P52" i="1"/>
  <c r="S36" i="1"/>
  <c r="S38" i="1" s="1"/>
  <c r="Q41" i="1"/>
  <c r="Q39" i="1"/>
  <c r="T34" i="1"/>
  <c r="T57" i="1"/>
  <c r="P58" i="1"/>
  <c r="Q37" i="1"/>
  <c r="P51" i="1"/>
  <c r="P55" i="1" s="1"/>
  <c r="R35" i="1"/>
  <c r="P47" i="1"/>
  <c r="P59" i="1" s="1"/>
  <c r="P49" i="1"/>
  <c r="P54" i="1" s="1"/>
  <c r="Q47" i="1"/>
  <c r="Q59" i="1" s="1"/>
  <c r="Q49" i="1"/>
  <c r="V23" i="3" a="1"/>
  <c r="V11" i="3" a="1"/>
  <c r="V11" i="3" l="1"/>
  <c r="V17" i="3" s="1"/>
  <c r="V38" i="3" s="1"/>
  <c r="V14" i="3"/>
  <c r="V20" i="3" s="1"/>
  <c r="V41" i="3" s="1"/>
  <c r="V16" i="3"/>
  <c r="V22" i="3" s="1"/>
  <c r="V12" i="3"/>
  <c r="V18" i="3" s="1"/>
  <c r="V39" i="3" s="1"/>
  <c r="V15" i="3"/>
  <c r="V21" i="3" s="1"/>
  <c r="V13" i="3"/>
  <c r="V19" i="3" s="1"/>
  <c r="V40" i="3" s="1"/>
  <c r="V24" i="3"/>
  <c r="V30" i="3" s="1"/>
  <c r="V45" i="3" s="1"/>
  <c r="V28" i="3"/>
  <c r="V34" i="3" s="1"/>
  <c r="V26" i="3"/>
  <c r="V32" i="3" s="1"/>
  <c r="V25" i="3"/>
  <c r="V31" i="3" s="1"/>
  <c r="V46" i="3" s="1"/>
  <c r="V23" i="3"/>
  <c r="V29" i="3" s="1"/>
  <c r="V44" i="3" s="1"/>
  <c r="V27" i="3"/>
  <c r="V33" i="3" s="1"/>
  <c r="W10" i="3"/>
  <c r="W37" i="3"/>
  <c r="W43" i="3"/>
  <c r="Q51" i="1"/>
  <c r="Q55" i="1" s="1"/>
  <c r="R48" i="1"/>
  <c r="R50" i="1" s="1"/>
  <c r="R46" i="1"/>
  <c r="Q52" i="1"/>
  <c r="R43" i="1"/>
  <c r="S44" i="1"/>
  <c r="S40" i="1"/>
  <c r="S42" i="1" s="1"/>
  <c r="Q54" i="1"/>
  <c r="P60" i="1"/>
  <c r="S43" i="1"/>
  <c r="R39" i="1"/>
  <c r="R41" i="1"/>
  <c r="R37" i="1"/>
  <c r="R51" i="1"/>
  <c r="R55" i="1" s="1"/>
  <c r="R47" i="1"/>
  <c r="R59" i="1" s="1"/>
  <c r="R49" i="1"/>
  <c r="R54" i="1" s="1"/>
  <c r="T36" i="1"/>
  <c r="T38" i="1" s="1"/>
  <c r="S35" i="1"/>
  <c r="P53" i="1"/>
  <c r="Q58" i="1"/>
  <c r="Q60" i="1" s="1"/>
  <c r="Q53" i="1"/>
  <c r="W23" i="3" a="1"/>
  <c r="W11" i="3" a="1"/>
  <c r="W11" i="3" l="1"/>
  <c r="W17" i="3" s="1"/>
  <c r="W38" i="3" s="1"/>
  <c r="W15" i="3"/>
  <c r="W21" i="3" s="1"/>
  <c r="W13" i="3"/>
  <c r="W19" i="3" s="1"/>
  <c r="W40" i="3" s="1"/>
  <c r="W12" i="3"/>
  <c r="W18" i="3" s="1"/>
  <c r="W39" i="3" s="1"/>
  <c r="W14" i="3"/>
  <c r="W20" i="3" s="1"/>
  <c r="W41" i="3" s="1"/>
  <c r="W16" i="3"/>
  <c r="W22" i="3" s="1"/>
  <c r="W28" i="3"/>
  <c r="W34" i="3" s="1"/>
  <c r="W25" i="3"/>
  <c r="W31" i="3" s="1"/>
  <c r="W46" i="3" s="1"/>
  <c r="W23" i="3"/>
  <c r="W29" i="3" s="1"/>
  <c r="W44" i="3" s="1"/>
  <c r="W24" i="3"/>
  <c r="W30" i="3" s="1"/>
  <c r="W45" i="3" s="1"/>
  <c r="W27" i="3"/>
  <c r="W33" i="3" s="1"/>
  <c r="W26" i="3"/>
  <c r="W32" i="3" s="1"/>
  <c r="X10" i="3"/>
  <c r="X43" i="3"/>
  <c r="X37" i="3"/>
  <c r="S48" i="1"/>
  <c r="S50" i="1" s="1"/>
  <c r="S49" i="1" s="1"/>
  <c r="S46" i="1"/>
  <c r="S45" i="1" s="1"/>
  <c r="R52" i="1"/>
  <c r="R45" i="1"/>
  <c r="T44" i="1"/>
  <c r="T43" i="1" s="1"/>
  <c r="T40" i="1"/>
  <c r="T42" i="1" s="1"/>
  <c r="R53" i="1"/>
  <c r="R58" i="1"/>
  <c r="R60" i="1" s="1"/>
  <c r="S37" i="1"/>
  <c r="S51" i="1"/>
  <c r="S55" i="1" s="1"/>
  <c r="S39" i="1"/>
  <c r="S41" i="1"/>
  <c r="T35" i="1"/>
  <c r="X23" i="3" a="1"/>
  <c r="X11" i="3" a="1"/>
  <c r="X11" i="3" l="1"/>
  <c r="X17" i="3" s="1"/>
  <c r="X38" i="3" s="1"/>
  <c r="X13" i="3"/>
  <c r="X19" i="3" s="1"/>
  <c r="X40" i="3" s="1"/>
  <c r="X16" i="3"/>
  <c r="X22" i="3" s="1"/>
  <c r="X15" i="3"/>
  <c r="X21" i="3" s="1"/>
  <c r="X14" i="3"/>
  <c r="X20" i="3" s="1"/>
  <c r="X41" i="3" s="1"/>
  <c r="X12" i="3"/>
  <c r="X18" i="3" s="1"/>
  <c r="X39" i="3" s="1"/>
  <c r="X24" i="3"/>
  <c r="X30" i="3" s="1"/>
  <c r="X45" i="3" s="1"/>
  <c r="X28" i="3"/>
  <c r="X34" i="3" s="1"/>
  <c r="X26" i="3"/>
  <c r="X32" i="3" s="1"/>
  <c r="X23" i="3"/>
  <c r="X29" i="3" s="1"/>
  <c r="X44" i="3" s="1"/>
  <c r="X27" i="3"/>
  <c r="X33" i="3" s="1"/>
  <c r="X25" i="3"/>
  <c r="X31" i="3" s="1"/>
  <c r="X46" i="3" s="1"/>
  <c r="S52" i="1"/>
  <c r="T48" i="1"/>
  <c r="T50" i="1" s="1"/>
  <c r="T49" i="1" s="1"/>
  <c r="T46" i="1"/>
  <c r="T45" i="1" s="1"/>
  <c r="S47" i="1"/>
  <c r="S59" i="1" s="1"/>
  <c r="S54" i="1"/>
  <c r="T37" i="1"/>
  <c r="T51" i="1"/>
  <c r="T55" i="1" s="1"/>
  <c r="S58" i="1"/>
  <c r="T41" i="1"/>
  <c r="T39" i="1"/>
  <c r="S60" i="1" l="1"/>
  <c r="S53" i="1"/>
  <c r="T52" i="1"/>
  <c r="T47" i="1"/>
  <c r="T59" i="1" s="1"/>
  <c r="T54" i="1"/>
  <c r="T58" i="1"/>
  <c r="T53" i="1" l="1"/>
  <c r="T60" i="1"/>
</calcChain>
</file>

<file path=xl/sharedStrings.xml><?xml version="1.0" encoding="utf-8"?>
<sst xmlns="http://schemas.openxmlformats.org/spreadsheetml/2006/main" count="198" uniqueCount="88">
  <si>
    <t>// Call optino - 10 units with strike 200, using spot of [150, 200, 250], collateral of 10 ETH</t>
  </si>
  <si>
    <t>// - 10 OptinoToken created</t>
  </si>
  <si>
    <t>//   - payoffInQuoteTokenPerUnitBaseToken = max(0, spot-strike) = [0, 0, 50] DAI</t>
  </si>
  <si>
    <t>//   - payoffInQuoteToken = 10 * [0, 0, 500] DAI</t>
  </si>
  <si>
    <t>//   * payoffInBaseTokenPerUnitBaseToken = payoffInQuoteTokenPerUnitBaseToken / [150, 200, 250] = [0, 0, 50/250] = [0, 0, 0.2] ETH</t>
  </si>
  <si>
    <t>//   * payoffInBaseToken = payoffInBaseTokenPerUnitBaseToken * 10 = [0 * 10, 0 * 10, 0.2 * 10] = [0, 0, 2] ETH</t>
  </si>
  <si>
    <t>// - 10 OptinoCollateralToken created</t>
  </si>
  <si>
    <t>//   - payoffInQuoteTokenPerUnitBaseToken = spot - max(0, spot-strike) = [150, 200, 200] DAI</t>
  </si>
  <si>
    <t>//   - payoffInQuoteToken = 10 * [1500, 2000, 2000] DAI</t>
  </si>
  <si>
    <t>//   * payoffInBaseTokenPerUnitBaseToken = payoffInQuoteTokenPerUnitBaseToken / [150, 200, 250] = [1, 1, 200/250] = [1, 1, 0.8] ETH</t>
  </si>
  <si>
    <t>//   * payoffInBaseToken = payoffInBaseTokenPerUnitBaseToken * 10 = [1 * 10, 1 * 10, 0.8 * 10] = [10, 10, 8] ETH</t>
  </si>
  <si>
    <t>//</t>
  </si>
  <si>
    <t>// Put optino - 10 units with strike 200, using spot of [150, 200, 250], collateral of 2000 DAI</t>
  </si>
  <si>
    <t>//   * payoffInQuoteTokenPerUnitBaseToken = max(0, strike-spot) = [50, 0, 0] DAI</t>
  </si>
  <si>
    <t>//   * payoffInQuoteToken = 10 * [500, 0, 0] DAI</t>
  </si>
  <si>
    <t>//   - payoffInBaseTokenPerUnitBaseToken = payoffInQuoteTokenPerUnitBaseToken / [150, 200, 250] = [50/150, 0/200, 0/250] = [0.333333333, 0, 0] ETH</t>
  </si>
  <si>
    <t>//   - payoffInBaseToken = payoffInBaseTokenPerUnitBaseToken * 10 = [0.333333333 * 10, 0 * 10, 0 * 10] = [3.333333333, 0, 0] ETH</t>
  </si>
  <si>
    <t>//   * payoffInQuoteTokenPerUnitBaseToken = strike - max(0, strike-spot) = [150, 200, 200] DAI</t>
  </si>
  <si>
    <t>//   * payoffInQuoteToken = 10 * [1500, 2000, 2000] DAI</t>
  </si>
  <si>
    <t>//   - payoffInBaseTokenPerUnitBaseToken = payoffInQuoteTokenPerUnitBaseToken / spot</t>
  </si>
  <si>
    <t>//   - payoffInBaseTokenPerUnitBaseToken = [150, 200, 200] / [150, 200, 250] = [1, 1, 200/250] = [1, 1, 0.8] ETH</t>
  </si>
  <si>
    <t>//   - payoffInBaseToken = payoffInBaseTokenPerUnitBaseToken * 10 = [1 * 10, 1 * 10, 0.8 * 10] = [10, 10, 8] ETH</t>
  </si>
  <si>
    <t>Field \ Spot</t>
  </si>
  <si>
    <t>baseTokens</t>
  </si>
  <si>
    <t>strike</t>
  </si>
  <si>
    <t>payoffInQuoteTokenPerUnitBaseToken</t>
  </si>
  <si>
    <t>payoffInQuoteToken</t>
  </si>
  <si>
    <t>payoffInBaseTokensPerUnitBaseToken</t>
  </si>
  <si>
    <t>payoffInBaseTokens</t>
  </si>
  <si>
    <t>collateralPayoffInQuoteTokenPerUnitBaseToken</t>
  </si>
  <si>
    <t>=max(0, spot-strike)</t>
  </si>
  <si>
    <t>collateralPayoffInQuoteToken</t>
  </si>
  <si>
    <t>=spot - max(0, spot-strike)</t>
  </si>
  <si>
    <t>collateralPayoffInBaseTokenPerUnitBaseToken</t>
  </si>
  <si>
    <t>collateralPayoffInBaseToken</t>
  </si>
  <si>
    <t>Collateral</t>
  </si>
  <si>
    <t>Totals</t>
  </si>
  <si>
    <t>ETH</t>
  </si>
  <si>
    <t>DAI</t>
  </si>
  <si>
    <t>baseDecimals</t>
  </si>
  <si>
    <t>totalPayoffInQuoteTokenPerUnitBaseToken</t>
  </si>
  <si>
    <t>totalPayoffInQuoteToken</t>
  </si>
  <si>
    <t>totalPayoffInBaseTokenPerUnitBaseToken</t>
  </si>
  <si>
    <t>totalPayoffInBaseToken</t>
  </si>
  <si>
    <t>=totalPayoffInQuoteTokenPerUnitBaseToken-Spot</t>
  </si>
  <si>
    <t>Spot</t>
  </si>
  <si>
    <t>=max(0, strike-spot)</t>
  </si>
  <si>
    <t>collateralInQuoteToken</t>
  </si>
  <si>
    <t>rateDecimals</t>
  </si>
  <si>
    <t>=max(0, spot-strike) / (spot/10^rateDecimals)</t>
  </si>
  <si>
    <t>=(spot - max(0, spot-strike)) / (spot/10^rateDecimals)</t>
  </si>
  <si>
    <t>=(spot - max(0, spot-strike)) / (spot/10^rateDecimals) x (baseTokens/10^baseDecimals)</t>
  </si>
  <si>
    <t>=max(0, strike-spot) / (spot/10^rateDecimals)</t>
  </si>
  <si>
    <t>=(spot - max(0, spot-strike)) / (spot/rateDecimals) x (baseTokens/10^baseDecimals)</t>
  </si>
  <si>
    <t>collateralInBaseToken</t>
  </si>
  <si>
    <t>=strike - max(0, spot-strike)</t>
  </si>
  <si>
    <t>=(strike - max(0, spot-strike)) / (spot/10^rateDecimals)</t>
  </si>
  <si>
    <t>optionPayoffInBaseToken</t>
  </si>
  <si>
    <t>optionPayoffInQuoteToken</t>
  </si>
  <si>
    <t>Option</t>
  </si>
  <si>
    <t>=(spot-max(0, spot-strike)) x (baseTokens/10^baseDecimals)</t>
  </si>
  <si>
    <t>=max(0, spot-strike) / (spot/10^rateDecimals) x (baseTokens/10^baseDecimals)</t>
  </si>
  <si>
    <t>=max(0, spot-strike) x (baseTokens/10^baseDecimals)</t>
  </si>
  <si>
    <t>=max(0, strike-spot) x (baseTokens/10^baseDecimals)</t>
  </si>
  <si>
    <t>=max(0, strike-strike) / (spot/10^rateDecimals) x (baseTokens/10^baseDecimals)</t>
  </si>
  <si>
    <t>=(strike-max(0, spot-strike)) x (baseTokens/10^baseDecimals)</t>
  </si>
  <si>
    <t>Call</t>
  </si>
  <si>
    <t>Put</t>
  </si>
  <si>
    <t>callCap (bound)</t>
  </si>
  <si>
    <t>putFloor (bound)</t>
  </si>
  <si>
    <t>quoteDecimals</t>
  </si>
  <si>
    <t>Spot Raw</t>
  </si>
  <si>
    <t>(rateDecimals)</t>
  </si>
  <si>
    <t>(baseDecimals)</t>
  </si>
  <si>
    <t>collateral</t>
  </si>
  <si>
    <t>payoff</t>
  </si>
  <si>
    <t>collateralPayoff</t>
  </si>
  <si>
    <t>Delivery in baseToken</t>
  </si>
  <si>
    <t>Non-delivery in quoteToken</t>
  </si>
  <si>
    <t>Delivery in quoteToken</t>
  </si>
  <si>
    <t>Non-delivery in baseToken</t>
  </si>
  <si>
    <t>Call Diagram</t>
  </si>
  <si>
    <t>payoffInQuoteTokens</t>
  </si>
  <si>
    <t>Put Diagram</t>
  </si>
  <si>
    <t>collateralPayoffInBaseTokens</t>
  </si>
  <si>
    <t>collateralInBaseTokens</t>
  </si>
  <si>
    <t>collateralPayoffInQuoteTokens</t>
  </si>
  <si>
    <t>collateralInQuoteTokens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</si>
</sst>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2" xfId="0" quotePrefix="1" applyFont="1" applyBorder="1"/>
    <xf numFmtId="0" fontId="0" fillId="2" borderId="0" xfId="0" applyFill="1"/>
    <xf numFmtId="0" fontId="3" fillId="2" borderId="1" xfId="0" applyFont="1" applyFill="1" applyBorder="1"/>
    <xf numFmtId="0" fontId="2" fillId="2" borderId="0" xfId="0" applyFont="1" applyFill="1"/>
    <xf numFmtId="0" fontId="3" fillId="2" borderId="0" xfId="0" applyFont="1" applyFill="1"/>
    <xf numFmtId="0" fontId="2" fillId="0" borderId="3" xfId="0" quotePrefix="1" applyFont="1" applyBorder="1"/>
    <xf numFmtId="0" fontId="0" fillId="2" borderId="1" xfId="0" applyFill="1" applyBorder="1"/>
    <xf numFmtId="0" fontId="1" fillId="0" borderId="2" xfId="0" applyFont="1" applyBorder="1"/>
    <xf numFmtId="0" fontId="1" fillId="0" borderId="3" xfId="0" applyFont="1" applyBorder="1"/>
    <xf numFmtId="0" fontId="0" fillId="0" borderId="2" xfId="0" applyFont="1" applyBorder="1"/>
    <xf numFmtId="0" fontId="0" fillId="0" borderId="3" xfId="0" applyFont="1" applyBorder="1"/>
    <xf numFmtId="0" fontId="1" fillId="0" borderId="0" xfId="0" applyFont="1"/>
    <xf numFmtId="0" fontId="1" fillId="2" borderId="0" xfId="0" applyFont="1" applyFill="1"/>
    <xf numFmtId="0" fontId="0" fillId="0" borderId="4" xfId="0" applyBorder="1"/>
    <xf numFmtId="0" fontId="0" fillId="0" borderId="2" xfId="0" applyBorder="1" applyAlignment="1">
      <alignment horizontal="right"/>
    </xf>
    <xf numFmtId="0" fontId="1" fillId="3" borderId="0" xfId="0" applyFont="1" applyFill="1"/>
    <xf numFmtId="0" fontId="0" fillId="3" borderId="0" xfId="0" applyFill="1"/>
    <xf numFmtId="0" fontId="5" fillId="0" borderId="0" xfId="0" applyFont="1"/>
    <xf numFmtId="0" fontId="5" fillId="0" borderId="4" xfId="0" applyFont="1" applyBorder="1"/>
    <xf numFmtId="165" fontId="5" fillId="0" borderId="4" xfId="1" applyNumberFormat="1" applyFont="1" applyBorder="1" applyAlignment="1">
      <alignment horizontal="right"/>
    </xf>
    <xf numFmtId="165" fontId="5" fillId="0" borderId="0" xfId="1" applyNumberFormat="1" applyFont="1" applyAlignment="1">
      <alignment horizontal="right"/>
    </xf>
    <xf numFmtId="0" fontId="5" fillId="0" borderId="5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2" borderId="0" xfId="0" applyFont="1" applyFill="1"/>
    <xf numFmtId="0" fontId="0" fillId="3" borderId="0" xfId="0" applyFont="1" applyFill="1"/>
    <xf numFmtId="0" fontId="0" fillId="3" borderId="1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BoundedOptinos!$C$38</c:f>
              <c:strCache>
                <c:ptCount val="1"/>
                <c:pt idx="0">
                  <c:v>payoffInBaseTokens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BoundedOptinos!$D$38:$X$38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0.90908999999999995</c:v>
                </c:pt>
                <c:pt idx="12">
                  <c:v>1.6666700000000001</c:v>
                </c:pt>
                <c:pt idx="13">
                  <c:v>1.5384599999999999</c:v>
                </c:pt>
                <c:pt idx="14">
                  <c:v>1.4285699999999999</c:v>
                </c:pt>
                <c:pt idx="15">
                  <c:v>1.3333299999999999</c:v>
                </c:pt>
                <c:pt idx="16">
                  <c:v>1.25</c:v>
                </c:pt>
                <c:pt idx="17">
                  <c:v>1.1764699999999999</c:v>
                </c:pt>
                <c:pt idx="18">
                  <c:v>1.11111</c:v>
                </c:pt>
                <c:pt idx="19">
                  <c:v>1.05263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F-6749-A7D7-7A575DCFED0F}"/>
            </c:ext>
          </c:extLst>
        </c:ser>
        <c:ser>
          <c:idx val="1"/>
          <c:order val="1"/>
          <c:tx>
            <c:strRef>
              <c:f>BoundedOptinos!$C$39</c:f>
              <c:strCache>
                <c:ptCount val="1"/>
                <c:pt idx="0">
                  <c:v>collateralPayoffInBaseTokens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BoundedOptinos!$D$39:$X$39</c:f>
              <c:numCache>
                <c:formatCode>General</c:formatCode>
                <c:ptCount val="21"/>
                <c:pt idx="0">
                  <c:v>1.6667000000000001</c:v>
                </c:pt>
                <c:pt idx="1">
                  <c:v>1.6666700000000001</c:v>
                </c:pt>
                <c:pt idx="2">
                  <c:v>1.6666700000000001</c:v>
                </c:pt>
                <c:pt idx="3">
                  <c:v>1.6666700000000001</c:v>
                </c:pt>
                <c:pt idx="4">
                  <c:v>1.6666700000000001</c:v>
                </c:pt>
                <c:pt idx="5">
                  <c:v>1.6666700000000001</c:v>
                </c:pt>
                <c:pt idx="6">
                  <c:v>1.6666700000000001</c:v>
                </c:pt>
                <c:pt idx="7">
                  <c:v>1.6666700000000001</c:v>
                </c:pt>
                <c:pt idx="8">
                  <c:v>1.6666700000000001</c:v>
                </c:pt>
                <c:pt idx="9">
                  <c:v>1.6666700000000001</c:v>
                </c:pt>
                <c:pt idx="10">
                  <c:v>1.6666700000000001</c:v>
                </c:pt>
                <c:pt idx="11">
                  <c:v>0.75758000000000003</c:v>
                </c:pt>
                <c:pt idx="12">
                  <c:v>0</c:v>
                </c:pt>
                <c:pt idx="13">
                  <c:v>0.12820999999999999</c:v>
                </c:pt>
                <c:pt idx="14">
                  <c:v>0.23810000000000001</c:v>
                </c:pt>
                <c:pt idx="15">
                  <c:v>0.33333000000000002</c:v>
                </c:pt>
                <c:pt idx="16">
                  <c:v>0.41666999999999998</c:v>
                </c:pt>
                <c:pt idx="17">
                  <c:v>0.49020000000000002</c:v>
                </c:pt>
                <c:pt idx="18">
                  <c:v>0.55556000000000005</c:v>
                </c:pt>
                <c:pt idx="19">
                  <c:v>0.61404000000000003</c:v>
                </c:pt>
                <c:pt idx="20">
                  <c:v>0.66666999999999998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F-6749-A7D7-7A575DCFED0F}"/>
            </c:ext>
          </c:extLst>
        </c:ser>
        <c:ser>
          <c:idx val="2"/>
          <c:order val="2"/>
          <c:tx>
            <c:strRef>
              <c:f>BoundedOptinos!$C$40</c:f>
              <c:strCache>
                <c:ptCount val="1"/>
                <c:pt idx="0">
                  <c:v>collateralInBaseTokens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BoundedOptinos!$D$40:$X$40</c:f>
              <c:numCache>
                <c:formatCode>General</c:formatCode>
                <c:ptCount val="21"/>
                <c:pt idx="0">
                  <c:v>1.6667000000000001</c:v>
                </c:pt>
                <c:pt idx="1">
                  <c:v>1.6666700000000001</c:v>
                </c:pt>
                <c:pt idx="2">
                  <c:v>1.6666700000000001</c:v>
                </c:pt>
                <c:pt idx="3">
                  <c:v>1.6666700000000001</c:v>
                </c:pt>
                <c:pt idx="4">
                  <c:v>1.6666700000000001</c:v>
                </c:pt>
                <c:pt idx="5">
                  <c:v>1.6666700000000001</c:v>
                </c:pt>
                <c:pt idx="6">
                  <c:v>1.6666700000000001</c:v>
                </c:pt>
                <c:pt idx="7">
                  <c:v>1.6666700000000001</c:v>
                </c:pt>
                <c:pt idx="8">
                  <c:v>1.6666700000000001</c:v>
                </c:pt>
                <c:pt idx="9">
                  <c:v>1.6666700000000001</c:v>
                </c:pt>
                <c:pt idx="10">
                  <c:v>1.6666700000000001</c:v>
                </c:pt>
                <c:pt idx="11">
                  <c:v>1.6666700000000001</c:v>
                </c:pt>
                <c:pt idx="12">
                  <c:v>1.6666700000000001</c:v>
                </c:pt>
                <c:pt idx="13">
                  <c:v>1.6666700000000001</c:v>
                </c:pt>
                <c:pt idx="14">
                  <c:v>1.6666700000000001</c:v>
                </c:pt>
                <c:pt idx="15">
                  <c:v>1.6666700000000001</c:v>
                </c:pt>
                <c:pt idx="16">
                  <c:v>1.6666700000000001</c:v>
                </c:pt>
                <c:pt idx="17">
                  <c:v>1.6666700000000001</c:v>
                </c:pt>
                <c:pt idx="18">
                  <c:v>1.6666700000000001</c:v>
                </c:pt>
                <c:pt idx="19">
                  <c:v>1.6666700000000001</c:v>
                </c:pt>
                <c:pt idx="20">
                  <c:v>1.6666700000000001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31343"/>
        <c:axId val="939081759"/>
      </c:scatterChart>
      <c:scatterChart>
        <c:scatterStyle val="lineMarker"/>
        <c:varyColors val="0"/>
        <c:ser>
          <c:idx val="3"/>
          <c:order val="3"/>
          <c:tx>
            <c:strRef>
              <c:f>BoundedOptinos!$C$41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BoundedOptinos!$D$41:$X$41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46767"/>
        <c:axId val="954384799"/>
      </c:scatterChart>
      <c:valAx>
        <c:axId val="912131343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81759"/>
        <c:crosses val="autoZero"/>
        <c:crossBetween val="midCat"/>
      </c:valAx>
      <c:valAx>
        <c:axId val="93908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31343"/>
        <c:crosses val="autoZero"/>
        <c:crossBetween val="midCat"/>
      </c:valAx>
      <c:valAx>
        <c:axId val="9543847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quoteTokens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46767"/>
        <c:crosses val="max"/>
        <c:crossBetween val="midCat"/>
      </c:valAx>
      <c:valAx>
        <c:axId val="94804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438479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BoundedOptinos!$C$44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BoundedOptinos!$D$44:$X$44</c:f>
              <c:numCache>
                <c:formatCode>General</c:formatCode>
                <c:ptCount val="21"/>
                <c:pt idx="0">
                  <c:v>4999</c:v>
                </c:pt>
                <c:pt idx="1">
                  <c:v>4500</c:v>
                </c:pt>
                <c:pt idx="2">
                  <c:v>4000</c:v>
                </c:pt>
                <c:pt idx="3">
                  <c:v>3500</c:v>
                </c:pt>
                <c:pt idx="4">
                  <c:v>3000</c:v>
                </c:pt>
                <c:pt idx="5">
                  <c:v>2500</c:v>
                </c:pt>
                <c:pt idx="6">
                  <c:v>2000</c:v>
                </c:pt>
                <c:pt idx="7">
                  <c:v>1500</c:v>
                </c:pt>
                <c:pt idx="8">
                  <c:v>1000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9-9643-9998-F01FB1EDC4ED}"/>
            </c:ext>
          </c:extLst>
        </c:ser>
        <c:ser>
          <c:idx val="1"/>
          <c:order val="1"/>
          <c:tx>
            <c:strRef>
              <c:f>BoundedOptinos!$C$45</c:f>
              <c:strCache>
                <c:ptCount val="1"/>
                <c:pt idx="0">
                  <c:v>collateralPayoffInQuoteTokens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BoundedOptinos!$D$45:$X$45</c:f>
              <c:numCache>
                <c:formatCode>General</c:formatCode>
                <c:ptCount val="21"/>
                <c:pt idx="0">
                  <c:v>1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F9-9643-9998-F01FB1EDC4ED}"/>
            </c:ext>
          </c:extLst>
        </c:ser>
        <c:ser>
          <c:idx val="2"/>
          <c:order val="2"/>
          <c:tx>
            <c:strRef>
              <c:f>BoundedOptinos!$C$46</c:f>
              <c:strCache>
                <c:ptCount val="1"/>
                <c:pt idx="0">
                  <c:v>collateralInQuoteTokens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BoundedOptinos!$D$46:$X$46</c:f>
              <c:numCache>
                <c:formatCode>General</c:formatCode>
                <c:ptCount val="2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F9-9643-9998-F01FB1EDC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686831"/>
        <c:axId val="954235055"/>
      </c:scatterChart>
      <c:valAx>
        <c:axId val="937686831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235055"/>
        <c:crosses val="autoZero"/>
        <c:crossBetween val="midCat"/>
      </c:valAx>
      <c:valAx>
        <c:axId val="95423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686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CallFormula!$B$58</c:f>
              <c:strCache>
                <c:ptCount val="1"/>
                <c:pt idx="0">
                  <c:v>optionPayoffInBaseToken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CallFormula!$C$58:$T$58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0.8</c:v>
                </c:pt>
                <c:pt idx="10">
                  <c:v>0.92</c:v>
                </c:pt>
                <c:pt idx="11">
                  <c:v>0.96</c:v>
                </c:pt>
                <c:pt idx="12">
                  <c:v>0.97333333333333338</c:v>
                </c:pt>
                <c:pt idx="13">
                  <c:v>0.98</c:v>
                </c:pt>
                <c:pt idx="14">
                  <c:v>0.9900000000000001</c:v>
                </c:pt>
                <c:pt idx="15">
                  <c:v>0.99333333333333329</c:v>
                </c:pt>
                <c:pt idx="16">
                  <c:v>0.995</c:v>
                </c:pt>
                <c:pt idx="17">
                  <c:v>0.99600000000000011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FB-3F44-A3D1-77A3AEB86563}"/>
            </c:ext>
          </c:extLst>
        </c:ser>
        <c:ser>
          <c:idx val="1"/>
          <c:order val="1"/>
          <c:tx>
            <c:strRef>
              <c:f>CallFormula!$B$59</c:f>
              <c:strCache>
                <c:ptCount val="1"/>
                <c:pt idx="0">
                  <c:v>collateralPayoffInBaseToken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CallFormula!$C$59:$T$59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0.66666666666666663</c:v>
                </c:pt>
                <c:pt idx="7">
                  <c:v>0.5</c:v>
                </c:pt>
                <c:pt idx="8">
                  <c:v>0.4</c:v>
                </c:pt>
                <c:pt idx="9">
                  <c:v>0.2</c:v>
                </c:pt>
                <c:pt idx="10">
                  <c:v>0.08</c:v>
                </c:pt>
                <c:pt idx="11">
                  <c:v>0.04</c:v>
                </c:pt>
                <c:pt idx="12">
                  <c:v>2.6666666666666668E-2</c:v>
                </c:pt>
                <c:pt idx="13">
                  <c:v>0.02</c:v>
                </c:pt>
                <c:pt idx="14">
                  <c:v>9.9999999999998961E-3</c:v>
                </c:pt>
                <c:pt idx="15">
                  <c:v>6.6666666666667374E-3</c:v>
                </c:pt>
                <c:pt idx="16">
                  <c:v>4.9999999999999481E-3</c:v>
                </c:pt>
                <c:pt idx="17">
                  <c:v>3.9999999999999584E-3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FB-3F44-A3D1-77A3AEB86563}"/>
            </c:ext>
          </c:extLst>
        </c:ser>
        <c:ser>
          <c:idx val="2"/>
          <c:order val="2"/>
          <c:tx>
            <c:strRef>
              <c:f>CallFormula!$B$60</c:f>
              <c:strCache>
                <c:ptCount val="1"/>
                <c:pt idx="0">
                  <c:v>totalPayoffInBaseToken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CallFormula!$C$60:$T$60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0.99999999999999989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FB-3F44-A3D1-77A3AEB86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PutFormula!$B$58</c:f>
              <c:strCache>
                <c:ptCount val="1"/>
                <c:pt idx="0">
                  <c:v>optionPayoffInQuoteToken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PutFormula!$C$58:$T$58</c:f>
              <c:numCache>
                <c:formatCode>General</c:formatCode>
                <c:ptCount val="18"/>
                <c:pt idx="0">
                  <c:v>199.9</c:v>
                </c:pt>
                <c:pt idx="1">
                  <c:v>150</c:v>
                </c:pt>
                <c:pt idx="2">
                  <c:v>100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3-F142-9719-360BEDE92526}"/>
            </c:ext>
          </c:extLst>
        </c:ser>
        <c:ser>
          <c:idx val="1"/>
          <c:order val="1"/>
          <c:tx>
            <c:strRef>
              <c:f>PutFormula!$B$59</c:f>
              <c:strCache>
                <c:ptCount val="1"/>
                <c:pt idx="0">
                  <c:v>collateralPayoffInQuoteToken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PutFormula!$C$59:$T$59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43-F142-9719-360BEDE92526}"/>
            </c:ext>
          </c:extLst>
        </c:ser>
        <c:ser>
          <c:idx val="2"/>
          <c:order val="2"/>
          <c:tx>
            <c:strRef>
              <c:f>PutFormula!$B$60</c:f>
              <c:strCache>
                <c:ptCount val="1"/>
                <c:pt idx="0">
                  <c:v>totalPayoffInQuoteToken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PutFormula!$C$60:$T$60</c:f>
              <c:numCache>
                <c:formatCode>General</c:formatCode>
                <c:ptCount val="18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43-F142-9719-360BEDE92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6683</xdr:colOff>
      <xdr:row>48</xdr:row>
      <xdr:rowOff>18715</xdr:rowOff>
    </xdr:from>
    <xdr:to>
      <xdr:col>9</xdr:col>
      <xdr:colOff>441158</xdr:colOff>
      <xdr:row>76</xdr:row>
      <xdr:rowOff>133683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4FFFB4-5BC7-0D4D-BD1D-F53253DBA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581527</xdr:colOff>
      <xdr:row>48</xdr:row>
      <xdr:rowOff>45453</xdr:rowOff>
    </xdr:from>
    <xdr:to>
      <xdr:col>17</xdr:col>
      <xdr:colOff>681789</xdr:colOff>
      <xdr:row>76</xdr:row>
      <xdr:rowOff>147052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B712DD-9A85-1B4F-A6F8-8CB1731B0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E4CB2E9-FC75-0E4D-8459-B734FE4D97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C2092-49F3-064C-82D5-01F6AB546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2214-1A91-164F-8B5A-5C137EE015DC}">
  <sheetPr codeName="Sheet1"/>
  <dimension ref="A1:X46"/>
  <sheetViews>
    <sheetView showGridLines="0" tabSelected="1" topLeftCell="A30" zoomScale="95" zoomScaleNormal="95" workbookViewId="0">
      <selection activeCell="V18" sqref="V18"/>
    </sheetView>
  </sheetViews>
  <sheetFormatPr baseColWidth="10" defaultRowHeight="16" x14ac:dyDescent="0.2"/>
  <cols>
    <col min="1" max="1" width="5.6640625" customWidth="1"/>
    <col min="2" max="2" width="23.83203125" bestFit="1" customWidth="1"/>
    <col min="3" max="3" width="26.6640625" bestFit="1" customWidth="1"/>
    <col min="4" max="24" width="13.6640625" customWidth="1"/>
  </cols>
  <sheetData>
    <row r="1" spans="1:24" x14ac:dyDescent="0.2">
      <c r="B1" t="s">
        <v>24</v>
      </c>
      <c r="C1">
        <v>500</v>
      </c>
      <c r="D1" s="24">
        <f>C1*10^$C$7</f>
        <v>500000000</v>
      </c>
      <c r="E1" t="s">
        <v>72</v>
      </c>
    </row>
    <row r="2" spans="1:24" x14ac:dyDescent="0.2">
      <c r="B2" t="s">
        <v>68</v>
      </c>
      <c r="C2">
        <v>600</v>
      </c>
      <c r="D2" s="24">
        <f>C2*10^$C$7</f>
        <v>600000000</v>
      </c>
      <c r="E2" t="s">
        <v>72</v>
      </c>
    </row>
    <row r="3" spans="1:24" x14ac:dyDescent="0.2">
      <c r="B3" t="s">
        <v>69</v>
      </c>
      <c r="C3">
        <v>0</v>
      </c>
      <c r="D3" s="24">
        <f>C3*10^$C$7</f>
        <v>0</v>
      </c>
      <c r="E3" t="s">
        <v>72</v>
      </c>
    </row>
    <row r="4" spans="1:24" x14ac:dyDescent="0.2">
      <c r="B4" t="s">
        <v>23</v>
      </c>
      <c r="C4">
        <v>10</v>
      </c>
      <c r="D4" s="24">
        <f>C4*10^$C$5</f>
        <v>100000000</v>
      </c>
      <c r="E4" t="s">
        <v>73</v>
      </c>
    </row>
    <row r="5" spans="1:24" x14ac:dyDescent="0.2">
      <c r="B5" t="s">
        <v>39</v>
      </c>
      <c r="C5">
        <v>7</v>
      </c>
    </row>
    <row r="6" spans="1:24" x14ac:dyDescent="0.2">
      <c r="B6" t="s">
        <v>70</v>
      </c>
      <c r="C6">
        <v>5</v>
      </c>
    </row>
    <row r="7" spans="1:24" x14ac:dyDescent="0.2">
      <c r="B7" t="s">
        <v>48</v>
      </c>
      <c r="C7">
        <v>6</v>
      </c>
    </row>
    <row r="9" spans="1:24" x14ac:dyDescent="0.2">
      <c r="C9" s="21" t="s">
        <v>45</v>
      </c>
      <c r="D9">
        <v>0.1</v>
      </c>
      <c r="E9">
        <v>50</v>
      </c>
      <c r="F9">
        <f>50+E9</f>
        <v>100</v>
      </c>
      <c r="G9">
        <f t="shared" ref="G9:P9" si="0">50+F9</f>
        <v>150</v>
      </c>
      <c r="H9">
        <f t="shared" si="0"/>
        <v>200</v>
      </c>
      <c r="I9">
        <f t="shared" si="0"/>
        <v>250</v>
      </c>
      <c r="J9">
        <f t="shared" si="0"/>
        <v>300</v>
      </c>
      <c r="K9">
        <f t="shared" si="0"/>
        <v>350</v>
      </c>
      <c r="L9">
        <f t="shared" si="0"/>
        <v>400</v>
      </c>
      <c r="M9">
        <f t="shared" si="0"/>
        <v>450</v>
      </c>
      <c r="N9">
        <f t="shared" si="0"/>
        <v>500</v>
      </c>
      <c r="O9">
        <f t="shared" si="0"/>
        <v>550</v>
      </c>
      <c r="P9">
        <f t="shared" si="0"/>
        <v>600</v>
      </c>
      <c r="Q9">
        <f t="shared" ref="Q9:X9" si="1">50+P9</f>
        <v>650</v>
      </c>
      <c r="R9">
        <f t="shared" si="1"/>
        <v>700</v>
      </c>
      <c r="S9">
        <f t="shared" si="1"/>
        <v>750</v>
      </c>
      <c r="T9">
        <f t="shared" si="1"/>
        <v>800</v>
      </c>
      <c r="U9">
        <f t="shared" si="1"/>
        <v>850</v>
      </c>
      <c r="V9">
        <f t="shared" si="1"/>
        <v>900</v>
      </c>
      <c r="W9">
        <f t="shared" si="1"/>
        <v>950</v>
      </c>
      <c r="X9">
        <f t="shared" si="1"/>
        <v>1000</v>
      </c>
    </row>
    <row r="10" spans="1:24" x14ac:dyDescent="0.2">
      <c r="C10" s="21" t="s">
        <v>71</v>
      </c>
      <c r="D10" s="24">
        <f>D9*10^$C$7</f>
        <v>100000</v>
      </c>
      <c r="E10" s="24">
        <f>E9*10^$C$7</f>
        <v>50000000</v>
      </c>
      <c r="F10" s="24">
        <f>F9*10^$C$7</f>
        <v>100000000</v>
      </c>
      <c r="G10" s="24">
        <f>G9*10^$C$7</f>
        <v>150000000</v>
      </c>
      <c r="H10" s="24">
        <f>H9*10^$C$7</f>
        <v>200000000</v>
      </c>
      <c r="I10" s="24">
        <f>I9*10^$C$7</f>
        <v>250000000</v>
      </c>
      <c r="J10" s="24">
        <f>J9*10^$C$7</f>
        <v>300000000</v>
      </c>
      <c r="K10" s="24">
        <f>K9*10^$C$7</f>
        <v>350000000</v>
      </c>
      <c r="L10" s="24">
        <f>L9*10^$C$7</f>
        <v>400000000</v>
      </c>
      <c r="M10" s="24">
        <f>M9*10^$C$7</f>
        <v>450000000</v>
      </c>
      <c r="N10" s="24">
        <f>N9*10^$C$7</f>
        <v>500000000</v>
      </c>
      <c r="O10" s="24">
        <f>O9*10^$C$7</f>
        <v>550000000</v>
      </c>
      <c r="P10" s="24">
        <f>P9*10^$C$7</f>
        <v>600000000</v>
      </c>
      <c r="Q10" s="24">
        <f>Q9*10^$C$7</f>
        <v>650000000</v>
      </c>
      <c r="R10" s="24">
        <f>R9*10^$C$7</f>
        <v>700000000</v>
      </c>
      <c r="S10" s="24">
        <f>S9*10^$C$7</f>
        <v>750000000</v>
      </c>
      <c r="T10" s="24">
        <f>T9*10^$C$7</f>
        <v>800000000</v>
      </c>
      <c r="U10" s="24">
        <f>U9*10^$C$7</f>
        <v>850000000</v>
      </c>
      <c r="V10" s="24">
        <f>V9*10^$C$7</f>
        <v>900000000</v>
      </c>
      <c r="W10" s="24">
        <f>W9*10^$C$7</f>
        <v>950000000</v>
      </c>
      <c r="X10" s="24">
        <f>X9*10^$C$7</f>
        <v>1000000000</v>
      </c>
    </row>
    <row r="11" spans="1:24" x14ac:dyDescent="0.2">
      <c r="A11" s="20" t="s">
        <v>66</v>
      </c>
      <c r="B11" s="25" t="s">
        <v>77</v>
      </c>
      <c r="C11" s="28" t="s">
        <v>75</v>
      </c>
      <c r="D11" s="26">
        <f t="array" ref="D11:D16">payoffInDeliveryToken(0,$D$1,$D$2,D$10,$D$4,$C$5,$C$7)</f>
        <v>0</v>
      </c>
      <c r="E11" s="26">
        <f t="array" ref="E11:E16">payoffInDeliveryToken(0,$D$1,$D$2,E$10,$D$4,$C$5,$C$7)</f>
        <v>0</v>
      </c>
      <c r="F11" s="26">
        <f t="array" ref="F11:F16">payoffInDeliveryToken(0,$D$1,$D$2,F$10,$D$4,$C$5,$C$7)</f>
        <v>0</v>
      </c>
      <c r="G11" s="26">
        <f t="array" ref="G11:G16">payoffInDeliveryToken(0,$D$1,$D$2,G$10,$D$4,$C$5,$C$7)</f>
        <v>0</v>
      </c>
      <c r="H11" s="26">
        <f t="array" ref="H11:H16">payoffInDeliveryToken(0,$D$1,$D$2,H$10,$D$4,$C$5,$C$7)</f>
        <v>0</v>
      </c>
      <c r="I11" s="26">
        <f t="array" ref="I11:I16">payoffInDeliveryToken(0,$D$1,$D$2,I$10,$D$4,$C$5,$C$7)</f>
        <v>0</v>
      </c>
      <c r="J11" s="26">
        <f t="array" ref="J11:J16">payoffInDeliveryToken(0,$D$1,$D$2,J$10,$D$4,$C$5,$C$7)</f>
        <v>0</v>
      </c>
      <c r="K11" s="26">
        <f t="array" ref="K11:K16">payoffInDeliveryToken(0,$D$1,$D$2,K$10,$D$4,$C$5,$C$7)</f>
        <v>0</v>
      </c>
      <c r="L11" s="26">
        <f t="array" ref="L11:L16">payoffInDeliveryToken(0,$D$1,$D$2,L$10,$D$4,$C$5,$C$7)</f>
        <v>0</v>
      </c>
      <c r="M11" s="26">
        <f t="array" ref="M11:M16">payoffInDeliveryToken(0,$D$1,$D$2,M$10,$D$4,$C$5,$C$7)</f>
        <v>0</v>
      </c>
      <c r="N11" s="26">
        <f t="array" ref="N11:N16">payoffInDeliveryToken(0,$D$1,$D$2,N$10,$D$4,$C$5,$C$7)</f>
        <v>0</v>
      </c>
      <c r="O11" s="26">
        <f t="array" ref="O11:O16">payoffInDeliveryToken(0,$D$1,$D$2,O$10,$D$4,$C$5,$C$7)</f>
        <v>909090</v>
      </c>
      <c r="P11" s="26">
        <f t="array" ref="P11:P16">payoffInDeliveryToken(0,$D$1,$D$2,P$10,$D$4,$C$5,$C$7)</f>
        <v>1666670</v>
      </c>
      <c r="Q11" s="26">
        <f t="array" ref="Q11:Q16">payoffInDeliveryToken(0,$D$1,$D$2,Q$10,$D$4,$C$5,$C$7)</f>
        <v>1538460</v>
      </c>
      <c r="R11" s="26">
        <f t="array" ref="R11:R16">payoffInDeliveryToken(0,$D$1,$D$2,R$10,$D$4,$C$5,$C$7)</f>
        <v>1428570</v>
      </c>
      <c r="S11" s="26">
        <f t="array" ref="S11:S16">payoffInDeliveryToken(0,$D$1,$D$2,S$10,$D$4,$C$5,$C$7)</f>
        <v>1333330</v>
      </c>
      <c r="T11" s="26">
        <f t="array" ref="T11:T16">payoffInDeliveryToken(0,$D$1,$D$2,T$10,$D$4,$C$5,$C$7)</f>
        <v>1250000</v>
      </c>
      <c r="U11" s="26">
        <f t="array" ref="U11:U16">payoffInDeliveryToken(0,$D$1,$D$2,U$10,$D$4,$C$5,$C$7)</f>
        <v>1176470</v>
      </c>
      <c r="V11" s="26">
        <f t="array" ref="V11:V16">payoffInDeliveryToken(0,$D$1,$D$2,V$10,$D$4,$C$5,$C$7)</f>
        <v>1111110</v>
      </c>
      <c r="W11" s="26">
        <f t="array" ref="W11:W16">payoffInDeliveryToken(0,$D$1,$D$2,W$10,$D$4,$C$5,$C$7)</f>
        <v>1052630</v>
      </c>
      <c r="X11" s="26">
        <f t="array" ref="X11:X16">payoffInDeliveryToken(0,$D$1,$D$2,X$10,$D$4,$C$5,$C$7)</f>
        <v>1000000</v>
      </c>
    </row>
    <row r="12" spans="1:24" x14ac:dyDescent="0.2">
      <c r="B12" s="24"/>
      <c r="C12" s="29" t="s">
        <v>76</v>
      </c>
      <c r="D12" s="27">
        <v>1666700</v>
      </c>
      <c r="E12" s="27">
        <v>1666670</v>
      </c>
      <c r="F12" s="27">
        <v>1666670</v>
      </c>
      <c r="G12" s="27">
        <v>1666670</v>
      </c>
      <c r="H12" s="27">
        <v>1666670</v>
      </c>
      <c r="I12" s="27">
        <v>1666670</v>
      </c>
      <c r="J12" s="27">
        <v>1666670</v>
      </c>
      <c r="K12" s="27">
        <v>1666670</v>
      </c>
      <c r="L12" s="27">
        <v>1666670</v>
      </c>
      <c r="M12" s="27">
        <v>1666670</v>
      </c>
      <c r="N12" s="27">
        <v>1666670</v>
      </c>
      <c r="O12" s="27">
        <v>757580</v>
      </c>
      <c r="P12" s="27">
        <v>0</v>
      </c>
      <c r="Q12" s="27">
        <v>128210</v>
      </c>
      <c r="R12" s="27">
        <v>238100</v>
      </c>
      <c r="S12" s="27">
        <v>333330</v>
      </c>
      <c r="T12" s="27">
        <v>416670</v>
      </c>
      <c r="U12" s="27">
        <v>490200</v>
      </c>
      <c r="V12" s="27">
        <v>555560</v>
      </c>
      <c r="W12" s="27">
        <v>614040</v>
      </c>
      <c r="X12" s="27">
        <v>666670</v>
      </c>
    </row>
    <row r="13" spans="1:24" x14ac:dyDescent="0.2">
      <c r="B13" s="24"/>
      <c r="C13" s="29" t="s">
        <v>74</v>
      </c>
      <c r="D13" s="27">
        <v>1666700</v>
      </c>
      <c r="E13" s="27">
        <v>1666670</v>
      </c>
      <c r="F13" s="27">
        <v>1666670</v>
      </c>
      <c r="G13" s="27">
        <v>1666670</v>
      </c>
      <c r="H13" s="27">
        <v>1666670</v>
      </c>
      <c r="I13" s="27">
        <v>1666670</v>
      </c>
      <c r="J13" s="27">
        <v>1666670</v>
      </c>
      <c r="K13" s="27">
        <v>1666670</v>
      </c>
      <c r="L13" s="27">
        <v>1666670</v>
      </c>
      <c r="M13" s="27">
        <v>1666670</v>
      </c>
      <c r="N13" s="27">
        <v>1666670</v>
      </c>
      <c r="O13" s="27">
        <v>1666670</v>
      </c>
      <c r="P13" s="27">
        <v>1666670</v>
      </c>
      <c r="Q13" s="27">
        <v>1666670</v>
      </c>
      <c r="R13" s="27">
        <v>1666670</v>
      </c>
      <c r="S13" s="27">
        <v>1666670</v>
      </c>
      <c r="T13" s="27">
        <v>1666670</v>
      </c>
      <c r="U13" s="27">
        <v>1666670</v>
      </c>
      <c r="V13" s="27">
        <v>1666670</v>
      </c>
      <c r="W13" s="27">
        <v>1666670</v>
      </c>
      <c r="X13" s="27">
        <v>1666670</v>
      </c>
    </row>
    <row r="14" spans="1:24" x14ac:dyDescent="0.2">
      <c r="B14" s="24" t="s">
        <v>78</v>
      </c>
      <c r="C14" s="29" t="s">
        <v>75</v>
      </c>
      <c r="D14" s="27">
        <v>0</v>
      </c>
      <c r="E14" s="27">
        <v>0</v>
      </c>
      <c r="F14" s="27">
        <v>0</v>
      </c>
      <c r="G14" s="27">
        <v>0</v>
      </c>
      <c r="H14" s="27">
        <v>0</v>
      </c>
      <c r="I14" s="27">
        <v>0</v>
      </c>
      <c r="J14" s="27">
        <v>0</v>
      </c>
      <c r="K14" s="27">
        <v>0</v>
      </c>
      <c r="L14" s="27">
        <v>0</v>
      </c>
      <c r="M14" s="27">
        <v>0</v>
      </c>
      <c r="N14" s="27">
        <v>0</v>
      </c>
      <c r="O14" s="27">
        <v>500000000</v>
      </c>
      <c r="P14" s="27">
        <v>1000000000</v>
      </c>
      <c r="Q14" s="27">
        <v>1000000000</v>
      </c>
      <c r="R14" s="27">
        <v>1000000000</v>
      </c>
      <c r="S14" s="27">
        <v>1000000000</v>
      </c>
      <c r="T14" s="27">
        <v>1000000000</v>
      </c>
      <c r="U14" s="27">
        <v>1000000000</v>
      </c>
      <c r="V14" s="27">
        <v>1000000000</v>
      </c>
      <c r="W14" s="27">
        <v>1000000000</v>
      </c>
      <c r="X14" s="27">
        <v>1000000000</v>
      </c>
    </row>
    <row r="15" spans="1:24" x14ac:dyDescent="0.2">
      <c r="B15" s="24"/>
      <c r="C15" s="29" t="s">
        <v>76</v>
      </c>
      <c r="D15" s="27">
        <v>166670</v>
      </c>
      <c r="E15" s="27">
        <v>83333330</v>
      </c>
      <c r="F15" s="27">
        <v>166666670</v>
      </c>
      <c r="G15" s="27">
        <v>250000000</v>
      </c>
      <c r="H15" s="27">
        <v>333333330</v>
      </c>
      <c r="I15" s="27">
        <v>416666670</v>
      </c>
      <c r="J15" s="27">
        <v>500000000</v>
      </c>
      <c r="K15" s="27">
        <v>583333330</v>
      </c>
      <c r="L15" s="27">
        <v>666666670</v>
      </c>
      <c r="M15" s="27">
        <v>750000000</v>
      </c>
      <c r="N15" s="27">
        <v>833333330</v>
      </c>
      <c r="O15" s="27">
        <v>416666670</v>
      </c>
      <c r="P15" s="27">
        <v>0</v>
      </c>
      <c r="Q15" s="27">
        <v>83333330</v>
      </c>
      <c r="R15" s="27">
        <v>166666670</v>
      </c>
      <c r="S15" s="27">
        <v>250000000</v>
      </c>
      <c r="T15" s="27">
        <v>333333330</v>
      </c>
      <c r="U15" s="27">
        <v>416666670</v>
      </c>
      <c r="V15" s="27">
        <v>500000000</v>
      </c>
      <c r="W15" s="27">
        <v>583333330</v>
      </c>
      <c r="X15" s="27">
        <v>666666670</v>
      </c>
    </row>
    <row r="16" spans="1:24" x14ac:dyDescent="0.2">
      <c r="B16" s="24"/>
      <c r="C16" s="29" t="s">
        <v>74</v>
      </c>
      <c r="D16" s="27">
        <v>166670</v>
      </c>
      <c r="E16" s="27">
        <v>83333330</v>
      </c>
      <c r="F16" s="27">
        <v>166666670</v>
      </c>
      <c r="G16" s="27">
        <v>250000000</v>
      </c>
      <c r="H16" s="27">
        <v>333333330</v>
      </c>
      <c r="I16" s="27">
        <v>416666670</v>
      </c>
      <c r="J16" s="27">
        <v>500000000</v>
      </c>
      <c r="K16" s="27">
        <v>583333330</v>
      </c>
      <c r="L16" s="27">
        <v>666666670</v>
      </c>
      <c r="M16" s="27">
        <v>750000000</v>
      </c>
      <c r="N16" s="27">
        <v>833333330</v>
      </c>
      <c r="O16" s="27">
        <v>916666670</v>
      </c>
      <c r="P16" s="27">
        <v>1000000000</v>
      </c>
      <c r="Q16" s="27">
        <v>1083333330</v>
      </c>
      <c r="R16" s="27">
        <v>1166666670</v>
      </c>
      <c r="S16" s="27">
        <v>1250000000</v>
      </c>
      <c r="T16" s="27">
        <v>1333333330</v>
      </c>
      <c r="U16" s="27">
        <v>1416666670</v>
      </c>
      <c r="V16" s="27">
        <v>1500000000</v>
      </c>
      <c r="W16" s="27">
        <v>1583333330</v>
      </c>
      <c r="X16" s="27">
        <v>1666666670</v>
      </c>
    </row>
    <row r="17" spans="1:24" x14ac:dyDescent="0.2">
      <c r="B17" s="8" t="s">
        <v>77</v>
      </c>
      <c r="C17" s="30" t="s">
        <v>75</v>
      </c>
      <c r="D17" s="19">
        <f>D11/10^$C$7</f>
        <v>0</v>
      </c>
      <c r="E17" s="19">
        <f>E11/10^$C$7</f>
        <v>0</v>
      </c>
      <c r="F17" s="19">
        <f>F11/10^$C$7</f>
        <v>0</v>
      </c>
      <c r="G17" s="19">
        <f>G11/10^$C$7</f>
        <v>0</v>
      </c>
      <c r="H17" s="19">
        <f>H11/10^$C$7</f>
        <v>0</v>
      </c>
      <c r="I17" s="19">
        <f>I11/10^$C$7</f>
        <v>0</v>
      </c>
      <c r="J17" s="19">
        <f>J11/10^$C$7</f>
        <v>0</v>
      </c>
      <c r="K17" s="19">
        <f>K11/10^$C$7</f>
        <v>0</v>
      </c>
      <c r="L17" s="19">
        <f>L11/10^$C$7</f>
        <v>0</v>
      </c>
      <c r="M17" s="19">
        <f>M11/10^$C$7</f>
        <v>0</v>
      </c>
      <c r="N17" s="19">
        <f>N11/10^$C$7</f>
        <v>0</v>
      </c>
      <c r="O17" s="19">
        <f>O11/10^$C$7</f>
        <v>0.90908999999999995</v>
      </c>
      <c r="P17" s="19">
        <f>P11/10^$C$7</f>
        <v>1.6666700000000001</v>
      </c>
      <c r="Q17" s="19">
        <f>Q11/10^$C$7</f>
        <v>1.5384599999999999</v>
      </c>
      <c r="R17" s="19">
        <f>R11/10^$C$7</f>
        <v>1.4285699999999999</v>
      </c>
      <c r="S17" s="19">
        <f>S11/10^$C$7</f>
        <v>1.3333299999999999</v>
      </c>
      <c r="T17" s="19">
        <f>T11/10^$C$7</f>
        <v>1.25</v>
      </c>
      <c r="U17" s="19">
        <f>U11/10^$C$7</f>
        <v>1.1764699999999999</v>
      </c>
      <c r="V17" s="19">
        <f>V11/10^$C$7</f>
        <v>1.11111</v>
      </c>
      <c r="W17" s="19">
        <f>W11/10^$C$7</f>
        <v>1.05263</v>
      </c>
      <c r="X17" s="19">
        <f>X11/10^$C$7</f>
        <v>1</v>
      </c>
    </row>
    <row r="18" spans="1:24" x14ac:dyDescent="0.2">
      <c r="B18" s="8"/>
      <c r="C18" s="30" t="s">
        <v>76</v>
      </c>
      <c r="D18" s="19">
        <f>D12/10^$C$7</f>
        <v>1.6667000000000001</v>
      </c>
      <c r="E18" s="19">
        <f>E12/10^$C$7</f>
        <v>1.6666700000000001</v>
      </c>
      <c r="F18" s="19">
        <f>F12/10^$C$7</f>
        <v>1.6666700000000001</v>
      </c>
      <c r="G18" s="19">
        <f>G12/10^$C$7</f>
        <v>1.6666700000000001</v>
      </c>
      <c r="H18" s="19">
        <f>H12/10^$C$7</f>
        <v>1.6666700000000001</v>
      </c>
      <c r="I18" s="19">
        <f>I12/10^$C$7</f>
        <v>1.6666700000000001</v>
      </c>
      <c r="J18" s="19">
        <f>J12/10^$C$7</f>
        <v>1.6666700000000001</v>
      </c>
      <c r="K18" s="19">
        <f>K12/10^$C$7</f>
        <v>1.6666700000000001</v>
      </c>
      <c r="L18" s="19">
        <f>L12/10^$C$7</f>
        <v>1.6666700000000001</v>
      </c>
      <c r="M18" s="19">
        <f>M12/10^$C$7</f>
        <v>1.6666700000000001</v>
      </c>
      <c r="N18" s="19">
        <f>N12/10^$C$7</f>
        <v>1.6666700000000001</v>
      </c>
      <c r="O18" s="19">
        <f>O12/10^$C$7</f>
        <v>0.75758000000000003</v>
      </c>
      <c r="P18" s="19">
        <f>P12/10^$C$7</f>
        <v>0</v>
      </c>
      <c r="Q18" s="19">
        <f>Q12/10^$C$7</f>
        <v>0.12820999999999999</v>
      </c>
      <c r="R18" s="19">
        <f>R12/10^$C$7</f>
        <v>0.23810000000000001</v>
      </c>
      <c r="S18" s="19">
        <f>S12/10^$C$7</f>
        <v>0.33333000000000002</v>
      </c>
      <c r="T18" s="19">
        <f>T12/10^$C$7</f>
        <v>0.41666999999999998</v>
      </c>
      <c r="U18" s="19">
        <f>U12/10^$C$7</f>
        <v>0.49020000000000002</v>
      </c>
      <c r="V18" s="19">
        <f>V12/10^$C$7</f>
        <v>0.55556000000000005</v>
      </c>
      <c r="W18" s="19">
        <f>W12/10^$C$7</f>
        <v>0.61404000000000003</v>
      </c>
      <c r="X18" s="19">
        <f>X12/10^$C$7</f>
        <v>0.66666999999999998</v>
      </c>
    </row>
    <row r="19" spans="1:24" x14ac:dyDescent="0.2">
      <c r="B19" s="8"/>
      <c r="C19" s="30" t="s">
        <v>74</v>
      </c>
      <c r="D19" s="19">
        <f>D13/10^$C$7</f>
        <v>1.6667000000000001</v>
      </c>
      <c r="E19" s="19">
        <f>E13/10^$C$7</f>
        <v>1.6666700000000001</v>
      </c>
      <c r="F19" s="19">
        <f>F13/10^$C$7</f>
        <v>1.6666700000000001</v>
      </c>
      <c r="G19" s="19">
        <f>G13/10^$C$7</f>
        <v>1.6666700000000001</v>
      </c>
      <c r="H19" s="19">
        <f>H13/10^$C$7</f>
        <v>1.6666700000000001</v>
      </c>
      <c r="I19" s="19">
        <f>I13/10^$C$7</f>
        <v>1.6666700000000001</v>
      </c>
      <c r="J19" s="19">
        <f>J13/10^$C$7</f>
        <v>1.6666700000000001</v>
      </c>
      <c r="K19" s="19">
        <f>K13/10^$C$7</f>
        <v>1.6666700000000001</v>
      </c>
      <c r="L19" s="19">
        <f>L13/10^$C$7</f>
        <v>1.6666700000000001</v>
      </c>
      <c r="M19" s="19">
        <f>M13/10^$C$7</f>
        <v>1.6666700000000001</v>
      </c>
      <c r="N19" s="19">
        <f>N13/10^$C$7</f>
        <v>1.6666700000000001</v>
      </c>
      <c r="O19" s="19">
        <f>O13/10^$C$7</f>
        <v>1.6666700000000001</v>
      </c>
      <c r="P19" s="19">
        <f>P13/10^$C$7</f>
        <v>1.6666700000000001</v>
      </c>
      <c r="Q19" s="19">
        <f>Q13/10^$C$7</f>
        <v>1.6666700000000001</v>
      </c>
      <c r="R19" s="19">
        <f>R13/10^$C$7</f>
        <v>1.6666700000000001</v>
      </c>
      <c r="S19" s="19">
        <f>S13/10^$C$7</f>
        <v>1.6666700000000001</v>
      </c>
      <c r="T19" s="19">
        <f>T13/10^$C$7</f>
        <v>1.6666700000000001</v>
      </c>
      <c r="U19" s="19">
        <f>U13/10^$C$7</f>
        <v>1.6666700000000001</v>
      </c>
      <c r="V19" s="19">
        <f>V13/10^$C$7</f>
        <v>1.6666700000000001</v>
      </c>
      <c r="W19" s="19">
        <f>W13/10^$C$7</f>
        <v>1.6666700000000001</v>
      </c>
      <c r="X19" s="19">
        <f>X13/10^$C$7</f>
        <v>1.6666700000000001</v>
      </c>
    </row>
    <row r="20" spans="1:24" x14ac:dyDescent="0.2">
      <c r="B20" s="8" t="s">
        <v>78</v>
      </c>
      <c r="C20" s="30" t="s">
        <v>75</v>
      </c>
      <c r="D20" s="19">
        <f>D14/10^$C$7</f>
        <v>0</v>
      </c>
      <c r="E20" s="19">
        <f>E14/10^$C$7</f>
        <v>0</v>
      </c>
      <c r="F20" s="19">
        <f>F14/10^$C$7</f>
        <v>0</v>
      </c>
      <c r="G20" s="19">
        <f>G14/10^$C$7</f>
        <v>0</v>
      </c>
      <c r="H20" s="19">
        <f>H14/10^$C$7</f>
        <v>0</v>
      </c>
      <c r="I20" s="19">
        <f>I14/10^$C$7</f>
        <v>0</v>
      </c>
      <c r="J20" s="19">
        <f>J14/10^$C$7</f>
        <v>0</v>
      </c>
      <c r="K20" s="19">
        <f>K14/10^$C$7</f>
        <v>0</v>
      </c>
      <c r="L20" s="19">
        <f>L14/10^$C$7</f>
        <v>0</v>
      </c>
      <c r="M20" s="19">
        <f>M14/10^$C$7</f>
        <v>0</v>
      </c>
      <c r="N20" s="19">
        <f>N14/10^$C$7</f>
        <v>0</v>
      </c>
      <c r="O20" s="19">
        <f>O14/10^$C$7</f>
        <v>500</v>
      </c>
      <c r="P20" s="19">
        <f>P14/10^$C$7</f>
        <v>1000</v>
      </c>
      <c r="Q20" s="19">
        <f>Q14/10^$C$7</f>
        <v>1000</v>
      </c>
      <c r="R20" s="19">
        <f>R14/10^$C$7</f>
        <v>1000</v>
      </c>
      <c r="S20" s="19">
        <f>S14/10^$C$7</f>
        <v>1000</v>
      </c>
      <c r="T20" s="19">
        <f>T14/10^$C$7</f>
        <v>1000</v>
      </c>
      <c r="U20" s="19">
        <f>U14/10^$C$7</f>
        <v>1000</v>
      </c>
      <c r="V20" s="19">
        <f>V14/10^$C$7</f>
        <v>1000</v>
      </c>
      <c r="W20" s="19">
        <f>W14/10^$C$7</f>
        <v>1000</v>
      </c>
      <c r="X20" s="19">
        <f>X14/10^$C$7</f>
        <v>1000</v>
      </c>
    </row>
    <row r="21" spans="1:24" x14ac:dyDescent="0.2">
      <c r="B21" s="8"/>
      <c r="C21" s="30" t="s">
        <v>76</v>
      </c>
      <c r="D21" s="35">
        <f>D15/10^$C$7</f>
        <v>0.16667000000000001</v>
      </c>
      <c r="E21" s="35">
        <f>E15/10^$C$7</f>
        <v>83.333330000000004</v>
      </c>
      <c r="F21" s="35">
        <f>F15/10^$C$7</f>
        <v>166.66667000000001</v>
      </c>
      <c r="G21" s="35">
        <f>G15/10^$C$7</f>
        <v>250</v>
      </c>
      <c r="H21" s="35">
        <f>H15/10^$C$7</f>
        <v>333.33332999999999</v>
      </c>
      <c r="I21" s="35">
        <f>I15/10^$C$7</f>
        <v>416.66667000000001</v>
      </c>
      <c r="J21" s="35">
        <f>J15/10^$C$7</f>
        <v>500</v>
      </c>
      <c r="K21" s="35">
        <f>K15/10^$C$7</f>
        <v>583.33333000000005</v>
      </c>
      <c r="L21" s="35">
        <f>L15/10^$C$7</f>
        <v>666.66666999999995</v>
      </c>
      <c r="M21" s="35">
        <f>M15/10^$C$7</f>
        <v>750</v>
      </c>
      <c r="N21" s="35">
        <f>N15/10^$C$7</f>
        <v>833.33333000000005</v>
      </c>
      <c r="O21" s="35">
        <f>O15/10^$C$7</f>
        <v>416.66667000000001</v>
      </c>
      <c r="P21" s="35">
        <f>P15/10^$C$7</f>
        <v>0</v>
      </c>
      <c r="Q21" s="35">
        <f>Q15/10^$C$7</f>
        <v>83.333330000000004</v>
      </c>
      <c r="R21" s="35">
        <f>R15/10^$C$7</f>
        <v>166.66667000000001</v>
      </c>
      <c r="S21" s="35">
        <f>S15/10^$C$7</f>
        <v>250</v>
      </c>
      <c r="T21" s="35">
        <f>T15/10^$C$7</f>
        <v>333.33332999999999</v>
      </c>
      <c r="U21" s="35">
        <f>U15/10^$C$7</f>
        <v>416.66667000000001</v>
      </c>
      <c r="V21" s="35">
        <f>V15/10^$C$7</f>
        <v>500</v>
      </c>
      <c r="W21" s="35">
        <f>W15/10^$C$7</f>
        <v>583.33333000000005</v>
      </c>
      <c r="X21" s="35">
        <f>X15/10^$C$7</f>
        <v>666.66666999999995</v>
      </c>
    </row>
    <row r="22" spans="1:24" x14ac:dyDescent="0.2">
      <c r="B22" s="8"/>
      <c r="C22" s="30" t="s">
        <v>74</v>
      </c>
      <c r="D22" s="35">
        <f>D16/10^$C$7</f>
        <v>0.16667000000000001</v>
      </c>
      <c r="E22" s="35">
        <f>E16/10^$C$7</f>
        <v>83.333330000000004</v>
      </c>
      <c r="F22" s="35">
        <f>F16/10^$C$7</f>
        <v>166.66667000000001</v>
      </c>
      <c r="G22" s="35">
        <f>G16/10^$C$7</f>
        <v>250</v>
      </c>
      <c r="H22" s="35">
        <f>H16/10^$C$7</f>
        <v>333.33332999999999</v>
      </c>
      <c r="I22" s="35">
        <f>I16/10^$C$7</f>
        <v>416.66667000000001</v>
      </c>
      <c r="J22" s="35">
        <f>J16/10^$C$7</f>
        <v>500</v>
      </c>
      <c r="K22" s="35">
        <f>K16/10^$C$7</f>
        <v>583.33333000000005</v>
      </c>
      <c r="L22" s="35">
        <f>L16/10^$C$7</f>
        <v>666.66666999999995</v>
      </c>
      <c r="M22" s="35">
        <f>M16/10^$C$7</f>
        <v>750</v>
      </c>
      <c r="N22" s="35">
        <f>N16/10^$C$7</f>
        <v>833.33333000000005</v>
      </c>
      <c r="O22" s="35">
        <f>O16/10^$C$7</f>
        <v>916.66666999999995</v>
      </c>
      <c r="P22" s="35">
        <f>P16/10^$C$7</f>
        <v>1000</v>
      </c>
      <c r="Q22" s="35">
        <f>Q16/10^$C$7</f>
        <v>1083.3333299999999</v>
      </c>
      <c r="R22" s="35">
        <f>R16/10^$C$7</f>
        <v>1166.6666700000001</v>
      </c>
      <c r="S22" s="35">
        <f>S16/10^$C$7</f>
        <v>1250</v>
      </c>
      <c r="T22" s="35">
        <f>T16/10^$C$7</f>
        <v>1333.3333299999999</v>
      </c>
      <c r="U22" s="35">
        <f>U16/10^$C$7</f>
        <v>1416.6666700000001</v>
      </c>
      <c r="V22" s="35">
        <f>V16/10^$C$7</f>
        <v>1500</v>
      </c>
      <c r="W22" s="35">
        <f>W16/10^$C$7</f>
        <v>1583.3333299999999</v>
      </c>
      <c r="X22" s="35">
        <f>X16/10^$C$7</f>
        <v>1666.6666700000001</v>
      </c>
    </row>
    <row r="23" spans="1:24" x14ac:dyDescent="0.2">
      <c r="A23" s="20" t="s">
        <v>67</v>
      </c>
      <c r="B23" s="25" t="s">
        <v>79</v>
      </c>
      <c r="C23" s="28" t="s">
        <v>75</v>
      </c>
      <c r="D23" s="26">
        <f t="array" ref="D23:D28">payoffInDeliveryToken(1,$D$1,$D$3,D$10,$D$4,$C$5,$C$7)</f>
        <v>4999000000</v>
      </c>
      <c r="E23" s="26">
        <f t="array" ref="E23:E28">payoffInDeliveryToken(1,$D$1,$D$3,E$10,$D$4,$C$5,$C$7)</f>
        <v>4500000000</v>
      </c>
      <c r="F23" s="26">
        <f t="array" ref="F23:F28">payoffInDeliveryToken(1,$D$1,$D$3,F$10,$D$4,$C$5,$C$7)</f>
        <v>4000000000</v>
      </c>
      <c r="G23" s="26">
        <f t="array" ref="G23:G28">payoffInDeliveryToken(1,$D$1,$D$3,G$10,$D$4,$C$5,$C$7)</f>
        <v>3500000000</v>
      </c>
      <c r="H23" s="26">
        <f t="array" ref="H23:H28">payoffInDeliveryToken(1,$D$1,$D$3,H$10,$D$4,$C$5,$C$7)</f>
        <v>3000000000</v>
      </c>
      <c r="I23" s="26">
        <f t="array" ref="I23:I28">payoffInDeliveryToken(1,$D$1,$D$3,I$10,$D$4,$C$5,$C$7)</f>
        <v>2500000000</v>
      </c>
      <c r="J23" s="26">
        <f t="array" ref="J23:J28">payoffInDeliveryToken(1,$D$1,$D$3,J$10,$D$4,$C$5,$C$7)</f>
        <v>2000000000</v>
      </c>
      <c r="K23" s="26">
        <f t="array" ref="K23:K28">payoffInDeliveryToken(1,$D$1,$D$3,K$10,$D$4,$C$5,$C$7)</f>
        <v>1500000000</v>
      </c>
      <c r="L23" s="26">
        <f t="array" ref="L23:L28">payoffInDeliveryToken(1,$D$1,$D$3,L$10,$D$4,$C$5,$C$7)</f>
        <v>1000000000</v>
      </c>
      <c r="M23" s="26">
        <f t="array" ref="M23:M28">payoffInDeliveryToken(1,$D$1,$D$3,M$10,$D$4,$C$5,$C$7)</f>
        <v>500000000</v>
      </c>
      <c r="N23" s="26">
        <f t="array" ref="N23:N28">payoffInDeliveryToken(1,$D$1,$D$3,N$10,$D$4,$C$5,$C$7)</f>
        <v>0</v>
      </c>
      <c r="O23" s="26">
        <f t="array" ref="O23:O28">payoffInDeliveryToken(1,$D$1,$D$3,O$10,$D$4,$C$5,$C$7)</f>
        <v>0</v>
      </c>
      <c r="P23" s="26">
        <f t="array" ref="P23:P28">payoffInDeliveryToken(1,$D$1,$D$3,P$10,$D$4,$C$5,$C$7)</f>
        <v>0</v>
      </c>
      <c r="Q23" s="26">
        <f t="array" ref="Q23:Q28">payoffInDeliveryToken(1,$D$1,$D$3,Q$10,$D$4,$C$5,$C$7)</f>
        <v>0</v>
      </c>
      <c r="R23" s="26">
        <f t="array" ref="R23:R28">payoffInDeliveryToken(1,$D$1,$D$3,R$10,$D$4,$C$5,$C$7)</f>
        <v>0</v>
      </c>
      <c r="S23" s="26">
        <f t="array" ref="S23:S28">payoffInDeliveryToken(1,$D$1,$D$3,S$10,$D$4,$C$5,$C$7)</f>
        <v>0</v>
      </c>
      <c r="T23" s="26">
        <f t="array" ref="T23:T28">payoffInDeliveryToken(1,$D$1,$D$3,T$10,$D$4,$C$5,$C$7)</f>
        <v>0</v>
      </c>
      <c r="U23" s="26">
        <f t="array" ref="U23:U28">payoffInDeliveryToken(1,$D$1,$D$3,U$10,$D$4,$C$5,$C$7)</f>
        <v>0</v>
      </c>
      <c r="V23" s="26">
        <f t="array" ref="V23:V28">payoffInDeliveryToken(1,$D$1,$D$3,V$10,$D$4,$C$5,$C$7)</f>
        <v>0</v>
      </c>
      <c r="W23" s="26">
        <f t="array" ref="W23:W28">payoffInDeliveryToken(1,$D$1,$D$3,W$10,$D$4,$C$5,$C$7)</f>
        <v>0</v>
      </c>
      <c r="X23" s="26">
        <f t="array" ref="X23:X28">payoffInDeliveryToken(1,$D$1,$D$3,X$10,$D$4,$C$5,$C$7)</f>
        <v>0</v>
      </c>
    </row>
    <row r="24" spans="1:24" x14ac:dyDescent="0.2">
      <c r="B24" s="24"/>
      <c r="C24" s="29" t="s">
        <v>76</v>
      </c>
      <c r="D24" s="27">
        <v>1000000</v>
      </c>
      <c r="E24" s="27">
        <v>500000000</v>
      </c>
      <c r="F24" s="27">
        <v>1000000000</v>
      </c>
      <c r="G24" s="27">
        <v>1500000000</v>
      </c>
      <c r="H24" s="27">
        <v>2000000000</v>
      </c>
      <c r="I24" s="27">
        <v>2500000000</v>
      </c>
      <c r="J24" s="27">
        <v>3000000000</v>
      </c>
      <c r="K24" s="27">
        <v>3500000000</v>
      </c>
      <c r="L24" s="27">
        <v>4000000000</v>
      </c>
      <c r="M24" s="27">
        <v>4500000000</v>
      </c>
      <c r="N24" s="27">
        <v>5000000000</v>
      </c>
      <c r="O24" s="27">
        <v>5000000000</v>
      </c>
      <c r="P24" s="27">
        <v>5000000000</v>
      </c>
      <c r="Q24" s="27">
        <v>5000000000</v>
      </c>
      <c r="R24" s="27">
        <v>5000000000</v>
      </c>
      <c r="S24" s="27">
        <v>5000000000</v>
      </c>
      <c r="T24" s="27">
        <v>5000000000</v>
      </c>
      <c r="U24" s="27">
        <v>5000000000</v>
      </c>
      <c r="V24" s="27">
        <v>5000000000</v>
      </c>
      <c r="W24" s="27">
        <v>5000000000</v>
      </c>
      <c r="X24" s="27">
        <v>5000000000</v>
      </c>
    </row>
    <row r="25" spans="1:24" x14ac:dyDescent="0.2">
      <c r="B25" s="24"/>
      <c r="C25" s="29" t="s">
        <v>74</v>
      </c>
      <c r="D25" s="27">
        <v>5000000000</v>
      </c>
      <c r="E25" s="27">
        <v>5000000000</v>
      </c>
      <c r="F25" s="27">
        <v>5000000000</v>
      </c>
      <c r="G25" s="27">
        <v>5000000000</v>
      </c>
      <c r="H25" s="27">
        <v>5000000000</v>
      </c>
      <c r="I25" s="27">
        <v>5000000000</v>
      </c>
      <c r="J25" s="27">
        <v>5000000000</v>
      </c>
      <c r="K25" s="27">
        <v>5000000000</v>
      </c>
      <c r="L25" s="27">
        <v>5000000000</v>
      </c>
      <c r="M25" s="27">
        <v>5000000000</v>
      </c>
      <c r="N25" s="27">
        <v>5000000000</v>
      </c>
      <c r="O25" s="27">
        <v>5000000000</v>
      </c>
      <c r="P25" s="27">
        <v>5000000000</v>
      </c>
      <c r="Q25" s="27">
        <v>5000000000</v>
      </c>
      <c r="R25" s="27">
        <v>5000000000</v>
      </c>
      <c r="S25" s="27">
        <v>5000000000</v>
      </c>
      <c r="T25" s="27">
        <v>5000000000</v>
      </c>
      <c r="U25" s="27">
        <v>5000000000</v>
      </c>
      <c r="V25" s="27">
        <v>5000000000</v>
      </c>
      <c r="W25" s="27">
        <v>5000000000</v>
      </c>
      <c r="X25" s="27">
        <v>5000000000</v>
      </c>
    </row>
    <row r="26" spans="1:24" x14ac:dyDescent="0.2">
      <c r="B26" s="24" t="s">
        <v>80</v>
      </c>
      <c r="C26" s="29" t="s">
        <v>75</v>
      </c>
      <c r="D26" s="27">
        <v>49990000000</v>
      </c>
      <c r="E26" s="27">
        <v>90000000</v>
      </c>
      <c r="F26" s="27">
        <v>40000000</v>
      </c>
      <c r="G26" s="27">
        <v>23333333.333333332</v>
      </c>
      <c r="H26" s="27">
        <v>15000000</v>
      </c>
      <c r="I26" s="27">
        <v>10000000</v>
      </c>
      <c r="J26" s="27">
        <v>6666666.666666667</v>
      </c>
      <c r="K26" s="27">
        <v>4285714.2857142854</v>
      </c>
      <c r="L26" s="27">
        <v>2500000</v>
      </c>
      <c r="M26" s="27">
        <v>1111111.111111111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</row>
    <row r="27" spans="1:24" x14ac:dyDescent="0.2">
      <c r="B27" s="24"/>
      <c r="C27" s="29" t="s">
        <v>76</v>
      </c>
      <c r="D27" s="27">
        <v>10000000</v>
      </c>
      <c r="E27" s="27">
        <v>10000000</v>
      </c>
      <c r="F27" s="27">
        <v>10000000</v>
      </c>
      <c r="G27" s="27">
        <v>10000000</v>
      </c>
      <c r="H27" s="27">
        <v>10000000</v>
      </c>
      <c r="I27" s="27">
        <v>10000000</v>
      </c>
      <c r="J27" s="27">
        <v>10000000</v>
      </c>
      <c r="K27" s="27">
        <v>10000000</v>
      </c>
      <c r="L27" s="27">
        <v>10000000</v>
      </c>
      <c r="M27" s="27">
        <v>10000000</v>
      </c>
      <c r="N27" s="27">
        <v>10000000</v>
      </c>
      <c r="O27" s="27">
        <v>9090909.0909090918</v>
      </c>
      <c r="P27" s="27">
        <v>8333333.333333333</v>
      </c>
      <c r="Q27" s="27">
        <v>7692307.692307692</v>
      </c>
      <c r="R27" s="27">
        <v>7142857.1428571427</v>
      </c>
      <c r="S27" s="27">
        <v>6666666.666666667</v>
      </c>
      <c r="T27" s="27">
        <v>6250000</v>
      </c>
      <c r="U27" s="27">
        <v>5882352.9411764704</v>
      </c>
      <c r="V27" s="27">
        <v>5555555.555555556</v>
      </c>
      <c r="W27" s="27">
        <v>5263157.8947368423</v>
      </c>
      <c r="X27" s="27">
        <v>5000000</v>
      </c>
    </row>
    <row r="28" spans="1:24" x14ac:dyDescent="0.2">
      <c r="B28" s="24"/>
      <c r="C28" s="29" t="s">
        <v>74</v>
      </c>
      <c r="D28" s="27">
        <v>50000000000</v>
      </c>
      <c r="E28" s="27">
        <v>100000000</v>
      </c>
      <c r="F28" s="27">
        <v>50000000</v>
      </c>
      <c r="G28" s="27">
        <v>33333333.333333332</v>
      </c>
      <c r="H28" s="27">
        <v>25000000</v>
      </c>
      <c r="I28" s="27">
        <v>20000000</v>
      </c>
      <c r="J28" s="27">
        <v>16666666.666666666</v>
      </c>
      <c r="K28" s="27">
        <v>14285714.285714285</v>
      </c>
      <c r="L28" s="27">
        <v>12500000</v>
      </c>
      <c r="M28" s="27">
        <v>11111111.111111112</v>
      </c>
      <c r="N28" s="27">
        <v>10000000</v>
      </c>
      <c r="O28" s="27">
        <v>9090909.0909090918</v>
      </c>
      <c r="P28" s="27">
        <v>8333333.333333333</v>
      </c>
      <c r="Q28" s="27">
        <v>7692307.692307692</v>
      </c>
      <c r="R28" s="27">
        <v>7142857.1428571427</v>
      </c>
      <c r="S28" s="27">
        <v>6666666.666666667</v>
      </c>
      <c r="T28" s="27">
        <v>6250000</v>
      </c>
      <c r="U28" s="27">
        <v>5882352.9411764704</v>
      </c>
      <c r="V28" s="27">
        <v>5555555.555555556</v>
      </c>
      <c r="W28" s="27">
        <v>5263157.8947368423</v>
      </c>
      <c r="X28" s="27">
        <v>5000000</v>
      </c>
    </row>
    <row r="29" spans="1:24" x14ac:dyDescent="0.2">
      <c r="B29" s="23" t="s">
        <v>79</v>
      </c>
      <c r="C29" s="31" t="s">
        <v>75</v>
      </c>
      <c r="D29" s="22">
        <f>D23/10^$C$7</f>
        <v>4999</v>
      </c>
      <c r="E29" s="22">
        <f>E23/10^$C$7</f>
        <v>4500</v>
      </c>
      <c r="F29" s="22">
        <f>F23/10^$C$7</f>
        <v>4000</v>
      </c>
      <c r="G29" s="22">
        <f>G23/10^$C$7</f>
        <v>3500</v>
      </c>
      <c r="H29" s="22">
        <f>H23/10^$C$7</f>
        <v>3000</v>
      </c>
      <c r="I29" s="22">
        <f>I23/10^$C$7</f>
        <v>2500</v>
      </c>
      <c r="J29" s="22">
        <f>J23/10^$C$7</f>
        <v>2000</v>
      </c>
      <c r="K29" s="22">
        <f>K23/10^$C$7</f>
        <v>1500</v>
      </c>
      <c r="L29" s="22">
        <f>L23/10^$C$7</f>
        <v>1000</v>
      </c>
      <c r="M29" s="22">
        <f>M23/10^$C$7</f>
        <v>500</v>
      </c>
      <c r="N29" s="22">
        <f>N23/10^$C$7</f>
        <v>0</v>
      </c>
      <c r="O29" s="22">
        <f>O23/10^$C$7</f>
        <v>0</v>
      </c>
      <c r="P29" s="22">
        <f>P23/10^$C$7</f>
        <v>0</v>
      </c>
      <c r="Q29" s="22">
        <f>Q23/10^$C$7</f>
        <v>0</v>
      </c>
      <c r="R29" s="22">
        <f>R23/10^$C$7</f>
        <v>0</v>
      </c>
      <c r="S29" s="22">
        <f>S23/10^$C$7</f>
        <v>0</v>
      </c>
      <c r="T29" s="22">
        <f>T23/10^$C$7</f>
        <v>0</v>
      </c>
      <c r="U29" s="22">
        <f>U23/10^$C$7</f>
        <v>0</v>
      </c>
      <c r="V29" s="22">
        <f>V23/10^$C$7</f>
        <v>0</v>
      </c>
      <c r="W29" s="22">
        <f>W23/10^$C$7</f>
        <v>0</v>
      </c>
      <c r="X29" s="22">
        <f>X23/10^$C$7</f>
        <v>0</v>
      </c>
    </row>
    <row r="30" spans="1:24" x14ac:dyDescent="0.2">
      <c r="B30" s="23"/>
      <c r="C30" s="31" t="s">
        <v>76</v>
      </c>
      <c r="D30" s="22">
        <f>D24/10^$C$7</f>
        <v>1</v>
      </c>
      <c r="E30" s="22">
        <f>E24/10^$C$7</f>
        <v>500</v>
      </c>
      <c r="F30" s="22">
        <f>F24/10^$C$7</f>
        <v>1000</v>
      </c>
      <c r="G30" s="22">
        <f>G24/10^$C$7</f>
        <v>1500</v>
      </c>
      <c r="H30" s="22">
        <f>H24/10^$C$7</f>
        <v>2000</v>
      </c>
      <c r="I30" s="22">
        <f>I24/10^$C$7</f>
        <v>2500</v>
      </c>
      <c r="J30" s="22">
        <f>J24/10^$C$7</f>
        <v>3000</v>
      </c>
      <c r="K30" s="22">
        <f>K24/10^$C$7</f>
        <v>3500</v>
      </c>
      <c r="L30" s="22">
        <f>L24/10^$C$7</f>
        <v>4000</v>
      </c>
      <c r="M30" s="22">
        <f>M24/10^$C$7</f>
        <v>4500</v>
      </c>
      <c r="N30" s="22">
        <f>N24/10^$C$7</f>
        <v>5000</v>
      </c>
      <c r="O30" s="22">
        <f>O24/10^$C$7</f>
        <v>5000</v>
      </c>
      <c r="P30" s="22">
        <f>P24/10^$C$7</f>
        <v>5000</v>
      </c>
      <c r="Q30" s="22">
        <f>Q24/10^$C$7</f>
        <v>5000</v>
      </c>
      <c r="R30" s="22">
        <f>R24/10^$C$7</f>
        <v>5000</v>
      </c>
      <c r="S30" s="22">
        <f>S24/10^$C$7</f>
        <v>5000</v>
      </c>
      <c r="T30" s="22">
        <f>T24/10^$C$7</f>
        <v>5000</v>
      </c>
      <c r="U30" s="22">
        <f>U24/10^$C$7</f>
        <v>5000</v>
      </c>
      <c r="V30" s="22">
        <f>V24/10^$C$7</f>
        <v>5000</v>
      </c>
      <c r="W30" s="22">
        <f>W24/10^$C$7</f>
        <v>5000</v>
      </c>
      <c r="X30" s="22">
        <f>X24/10^$C$7</f>
        <v>5000</v>
      </c>
    </row>
    <row r="31" spans="1:24" x14ac:dyDescent="0.2">
      <c r="B31" s="23"/>
      <c r="C31" s="31" t="s">
        <v>74</v>
      </c>
      <c r="D31" s="22">
        <f>D25/10^$C$7</f>
        <v>5000</v>
      </c>
      <c r="E31" s="22">
        <f>E25/10^$C$7</f>
        <v>5000</v>
      </c>
      <c r="F31" s="22">
        <f>F25/10^$C$7</f>
        <v>5000</v>
      </c>
      <c r="G31" s="22">
        <f>G25/10^$C$7</f>
        <v>5000</v>
      </c>
      <c r="H31" s="22">
        <f>H25/10^$C$7</f>
        <v>5000</v>
      </c>
      <c r="I31" s="22">
        <f>I25/10^$C$7</f>
        <v>5000</v>
      </c>
      <c r="J31" s="22">
        <f>J25/10^$C$7</f>
        <v>5000</v>
      </c>
      <c r="K31" s="22">
        <f>K25/10^$C$7</f>
        <v>5000</v>
      </c>
      <c r="L31" s="22">
        <f>L25/10^$C$7</f>
        <v>5000</v>
      </c>
      <c r="M31" s="22">
        <f>M25/10^$C$7</f>
        <v>5000</v>
      </c>
      <c r="N31" s="22">
        <f>N25/10^$C$7</f>
        <v>5000</v>
      </c>
      <c r="O31" s="22">
        <f>O25/10^$C$7</f>
        <v>5000</v>
      </c>
      <c r="P31" s="22">
        <f>P25/10^$C$7</f>
        <v>5000</v>
      </c>
      <c r="Q31" s="22">
        <f>Q25/10^$C$7</f>
        <v>5000</v>
      </c>
      <c r="R31" s="22">
        <f>R25/10^$C$7</f>
        <v>5000</v>
      </c>
      <c r="S31" s="22">
        <f>S25/10^$C$7</f>
        <v>5000</v>
      </c>
      <c r="T31" s="22">
        <f>T25/10^$C$7</f>
        <v>5000</v>
      </c>
      <c r="U31" s="22">
        <f>U25/10^$C$7</f>
        <v>5000</v>
      </c>
      <c r="V31" s="22">
        <f>V25/10^$C$7</f>
        <v>5000</v>
      </c>
      <c r="W31" s="22">
        <f>W25/10^$C$7</f>
        <v>5000</v>
      </c>
      <c r="X31" s="22">
        <f>X25/10^$C$7</f>
        <v>5000</v>
      </c>
    </row>
    <row r="32" spans="1:24" x14ac:dyDescent="0.2">
      <c r="B32" s="23" t="s">
        <v>80</v>
      </c>
      <c r="C32" s="31" t="s">
        <v>75</v>
      </c>
      <c r="D32" s="36">
        <f>D26/10^$C$7</f>
        <v>49990</v>
      </c>
      <c r="E32" s="36">
        <f>E26/10^$C$7</f>
        <v>90</v>
      </c>
      <c r="F32" s="36">
        <f>F26/10^$C$7</f>
        <v>40</v>
      </c>
      <c r="G32" s="36">
        <f>G26/10^$C$7</f>
        <v>23.333333333333332</v>
      </c>
      <c r="H32" s="36">
        <f>H26/10^$C$7</f>
        <v>15</v>
      </c>
      <c r="I32" s="36">
        <f>I26/10^$C$7</f>
        <v>10</v>
      </c>
      <c r="J32" s="36">
        <f>J26/10^$C$7</f>
        <v>6.666666666666667</v>
      </c>
      <c r="K32" s="36">
        <f>K26/10^$C$7</f>
        <v>4.2857142857142856</v>
      </c>
      <c r="L32" s="36">
        <f>L26/10^$C$7</f>
        <v>2.5</v>
      </c>
      <c r="M32" s="36">
        <f>M26/10^$C$7</f>
        <v>1.1111111111111109</v>
      </c>
      <c r="N32" s="36">
        <f>N26/10^$C$7</f>
        <v>0</v>
      </c>
      <c r="O32" s="36">
        <f>O26/10^$C$7</f>
        <v>0</v>
      </c>
      <c r="P32" s="36">
        <f>P26/10^$C$7</f>
        <v>0</v>
      </c>
      <c r="Q32" s="36">
        <f>Q26/10^$C$7</f>
        <v>0</v>
      </c>
      <c r="R32" s="36">
        <f>R26/10^$C$7</f>
        <v>0</v>
      </c>
      <c r="S32" s="36">
        <f>S26/10^$C$7</f>
        <v>0</v>
      </c>
      <c r="T32" s="36">
        <f>T26/10^$C$7</f>
        <v>0</v>
      </c>
      <c r="U32" s="36">
        <f>U26/10^$C$7</f>
        <v>0</v>
      </c>
      <c r="V32" s="36">
        <f>V26/10^$C$7</f>
        <v>0</v>
      </c>
      <c r="W32" s="36">
        <f>W26/10^$C$7</f>
        <v>0</v>
      </c>
      <c r="X32" s="36">
        <f>X26/10^$C$7</f>
        <v>0</v>
      </c>
    </row>
    <row r="33" spans="1:24" x14ac:dyDescent="0.2">
      <c r="B33" s="23"/>
      <c r="C33" s="31" t="s">
        <v>76</v>
      </c>
      <c r="D33" s="36">
        <f>D27/10^$C$7</f>
        <v>10</v>
      </c>
      <c r="E33" s="36">
        <f>E27/10^$C$7</f>
        <v>10</v>
      </c>
      <c r="F33" s="36">
        <f>F27/10^$C$7</f>
        <v>10</v>
      </c>
      <c r="G33" s="36">
        <f>G27/10^$C$7</f>
        <v>10</v>
      </c>
      <c r="H33" s="36">
        <f>H27/10^$C$7</f>
        <v>10</v>
      </c>
      <c r="I33" s="36">
        <f>I27/10^$C$7</f>
        <v>10</v>
      </c>
      <c r="J33" s="36">
        <f>J27/10^$C$7</f>
        <v>10</v>
      </c>
      <c r="K33" s="36">
        <f>K27/10^$C$7</f>
        <v>10</v>
      </c>
      <c r="L33" s="36">
        <f>L27/10^$C$7</f>
        <v>10</v>
      </c>
      <c r="M33" s="36">
        <f>M27/10^$C$7</f>
        <v>10</v>
      </c>
      <c r="N33" s="36">
        <f>N27/10^$C$7</f>
        <v>10</v>
      </c>
      <c r="O33" s="36">
        <f>O27/10^$C$7</f>
        <v>9.0909090909090917</v>
      </c>
      <c r="P33" s="36">
        <f>P27/10^$C$7</f>
        <v>8.3333333333333321</v>
      </c>
      <c r="Q33" s="36">
        <f>Q27/10^$C$7</f>
        <v>7.6923076923076916</v>
      </c>
      <c r="R33" s="36">
        <f>R27/10^$C$7</f>
        <v>7.1428571428571423</v>
      </c>
      <c r="S33" s="36">
        <f>S27/10^$C$7</f>
        <v>6.666666666666667</v>
      </c>
      <c r="T33" s="36">
        <f>T27/10^$C$7</f>
        <v>6.25</v>
      </c>
      <c r="U33" s="36">
        <f>U27/10^$C$7</f>
        <v>5.8823529411764701</v>
      </c>
      <c r="V33" s="36">
        <f>V27/10^$C$7</f>
        <v>5.5555555555555562</v>
      </c>
      <c r="W33" s="36">
        <f>W27/10^$C$7</f>
        <v>5.2631578947368425</v>
      </c>
      <c r="X33" s="36">
        <f>X27/10^$C$7</f>
        <v>5</v>
      </c>
    </row>
    <row r="34" spans="1:24" x14ac:dyDescent="0.2">
      <c r="A34" s="1"/>
      <c r="B34" s="32"/>
      <c r="C34" s="33" t="s">
        <v>74</v>
      </c>
      <c r="D34" s="37">
        <f>D28/10^$C$7</f>
        <v>50000</v>
      </c>
      <c r="E34" s="37">
        <f>E28/10^$C$7</f>
        <v>100</v>
      </c>
      <c r="F34" s="37">
        <f>F28/10^$C$7</f>
        <v>50</v>
      </c>
      <c r="G34" s="37">
        <f>G28/10^$C$7</f>
        <v>33.333333333333329</v>
      </c>
      <c r="H34" s="37">
        <f>H28/10^$C$7</f>
        <v>25</v>
      </c>
      <c r="I34" s="37">
        <f>I28/10^$C$7</f>
        <v>20</v>
      </c>
      <c r="J34" s="37">
        <f>J28/10^$C$7</f>
        <v>16.666666666666664</v>
      </c>
      <c r="K34" s="37">
        <f>K28/10^$C$7</f>
        <v>14.285714285714285</v>
      </c>
      <c r="L34" s="37">
        <f>L28/10^$C$7</f>
        <v>12.5</v>
      </c>
      <c r="M34" s="37">
        <f>M28/10^$C$7</f>
        <v>11.111111111111112</v>
      </c>
      <c r="N34" s="37">
        <f>N28/10^$C$7</f>
        <v>10</v>
      </c>
      <c r="O34" s="37">
        <f>O28/10^$C$7</f>
        <v>9.0909090909090917</v>
      </c>
      <c r="P34" s="37">
        <f>P28/10^$C$7</f>
        <v>8.3333333333333321</v>
      </c>
      <c r="Q34" s="37">
        <f>Q28/10^$C$7</f>
        <v>7.6923076923076916</v>
      </c>
      <c r="R34" s="37">
        <f>R28/10^$C$7</f>
        <v>7.1428571428571423</v>
      </c>
      <c r="S34" s="37">
        <f>S28/10^$C$7</f>
        <v>6.666666666666667</v>
      </c>
      <c r="T34" s="37">
        <f>T28/10^$C$7</f>
        <v>6.25</v>
      </c>
      <c r="U34" s="37">
        <f>U28/10^$C$7</f>
        <v>5.8823529411764701</v>
      </c>
      <c r="V34" s="37">
        <f>V28/10^$C$7</f>
        <v>5.5555555555555562</v>
      </c>
      <c r="W34" s="37">
        <f>W28/10^$C$7</f>
        <v>5.2631578947368425</v>
      </c>
      <c r="X34" s="37">
        <f>X28/10^$C$7</f>
        <v>5</v>
      </c>
    </row>
    <row r="37" spans="1:24" x14ac:dyDescent="0.2">
      <c r="B37" t="s">
        <v>81</v>
      </c>
      <c r="C37" s="34" t="s">
        <v>45</v>
      </c>
      <c r="D37">
        <f>D9</f>
        <v>0.1</v>
      </c>
      <c r="E37">
        <f t="shared" ref="E37:X37" si="2">E9</f>
        <v>50</v>
      </c>
      <c r="F37">
        <f t="shared" si="2"/>
        <v>100</v>
      </c>
      <c r="G37">
        <f t="shared" si="2"/>
        <v>150</v>
      </c>
      <c r="H37">
        <f t="shared" si="2"/>
        <v>200</v>
      </c>
      <c r="I37">
        <f t="shared" si="2"/>
        <v>250</v>
      </c>
      <c r="J37">
        <f t="shared" si="2"/>
        <v>300</v>
      </c>
      <c r="K37">
        <f t="shared" si="2"/>
        <v>350</v>
      </c>
      <c r="L37">
        <f t="shared" si="2"/>
        <v>400</v>
      </c>
      <c r="M37">
        <f t="shared" si="2"/>
        <v>450</v>
      </c>
      <c r="N37">
        <f t="shared" si="2"/>
        <v>500</v>
      </c>
      <c r="O37">
        <f t="shared" si="2"/>
        <v>550</v>
      </c>
      <c r="P37">
        <f t="shared" si="2"/>
        <v>600</v>
      </c>
      <c r="Q37">
        <f t="shared" si="2"/>
        <v>650</v>
      </c>
      <c r="R37">
        <f t="shared" si="2"/>
        <v>700</v>
      </c>
      <c r="S37">
        <f t="shared" si="2"/>
        <v>750</v>
      </c>
      <c r="T37">
        <f t="shared" si="2"/>
        <v>800</v>
      </c>
      <c r="U37">
        <f t="shared" si="2"/>
        <v>850</v>
      </c>
      <c r="V37">
        <f t="shared" si="2"/>
        <v>900</v>
      </c>
      <c r="W37">
        <f t="shared" si="2"/>
        <v>950</v>
      </c>
      <c r="X37">
        <f t="shared" si="2"/>
        <v>1000</v>
      </c>
    </row>
    <row r="38" spans="1:24" x14ac:dyDescent="0.2">
      <c r="C38" s="34" t="s">
        <v>28</v>
      </c>
      <c r="D38">
        <f>D17</f>
        <v>0</v>
      </c>
      <c r="E38">
        <f t="shared" ref="E38:X38" si="3">E17</f>
        <v>0</v>
      </c>
      <c r="F38">
        <f t="shared" si="3"/>
        <v>0</v>
      </c>
      <c r="G38">
        <f t="shared" si="3"/>
        <v>0</v>
      </c>
      <c r="H38">
        <f t="shared" si="3"/>
        <v>0</v>
      </c>
      <c r="I38">
        <f t="shared" si="3"/>
        <v>0</v>
      </c>
      <c r="J38">
        <f t="shared" si="3"/>
        <v>0</v>
      </c>
      <c r="K38">
        <f t="shared" si="3"/>
        <v>0</v>
      </c>
      <c r="L38">
        <f t="shared" si="3"/>
        <v>0</v>
      </c>
      <c r="M38">
        <f t="shared" si="3"/>
        <v>0</v>
      </c>
      <c r="N38">
        <f t="shared" si="3"/>
        <v>0</v>
      </c>
      <c r="O38">
        <f t="shared" si="3"/>
        <v>0.90908999999999995</v>
      </c>
      <c r="P38">
        <f t="shared" si="3"/>
        <v>1.6666700000000001</v>
      </c>
      <c r="Q38">
        <f t="shared" si="3"/>
        <v>1.5384599999999999</v>
      </c>
      <c r="R38">
        <f t="shared" si="3"/>
        <v>1.4285699999999999</v>
      </c>
      <c r="S38">
        <f t="shared" si="3"/>
        <v>1.3333299999999999</v>
      </c>
      <c r="T38">
        <f t="shared" si="3"/>
        <v>1.25</v>
      </c>
      <c r="U38">
        <f t="shared" si="3"/>
        <v>1.1764699999999999</v>
      </c>
      <c r="V38">
        <f t="shared" si="3"/>
        <v>1.11111</v>
      </c>
      <c r="W38">
        <f t="shared" si="3"/>
        <v>1.05263</v>
      </c>
      <c r="X38">
        <f t="shared" si="3"/>
        <v>1</v>
      </c>
    </row>
    <row r="39" spans="1:24" x14ac:dyDescent="0.2">
      <c r="C39" s="34" t="s">
        <v>84</v>
      </c>
      <c r="D39">
        <f>D18</f>
        <v>1.6667000000000001</v>
      </c>
      <c r="E39">
        <f t="shared" ref="E39:X39" si="4">E18</f>
        <v>1.6666700000000001</v>
      </c>
      <c r="F39">
        <f t="shared" si="4"/>
        <v>1.6666700000000001</v>
      </c>
      <c r="G39">
        <f t="shared" si="4"/>
        <v>1.6666700000000001</v>
      </c>
      <c r="H39">
        <f t="shared" si="4"/>
        <v>1.6666700000000001</v>
      </c>
      <c r="I39">
        <f t="shared" si="4"/>
        <v>1.6666700000000001</v>
      </c>
      <c r="J39">
        <f t="shared" si="4"/>
        <v>1.6666700000000001</v>
      </c>
      <c r="K39">
        <f t="shared" si="4"/>
        <v>1.6666700000000001</v>
      </c>
      <c r="L39">
        <f t="shared" si="4"/>
        <v>1.6666700000000001</v>
      </c>
      <c r="M39">
        <f t="shared" si="4"/>
        <v>1.6666700000000001</v>
      </c>
      <c r="N39">
        <f t="shared" si="4"/>
        <v>1.6666700000000001</v>
      </c>
      <c r="O39">
        <f t="shared" si="4"/>
        <v>0.75758000000000003</v>
      </c>
      <c r="P39">
        <f t="shared" si="4"/>
        <v>0</v>
      </c>
      <c r="Q39">
        <f t="shared" si="4"/>
        <v>0.12820999999999999</v>
      </c>
      <c r="R39">
        <f t="shared" si="4"/>
        <v>0.23810000000000001</v>
      </c>
      <c r="S39">
        <f t="shared" si="4"/>
        <v>0.33333000000000002</v>
      </c>
      <c r="T39">
        <f t="shared" si="4"/>
        <v>0.41666999999999998</v>
      </c>
      <c r="U39">
        <f t="shared" si="4"/>
        <v>0.49020000000000002</v>
      </c>
      <c r="V39">
        <f t="shared" si="4"/>
        <v>0.55556000000000005</v>
      </c>
      <c r="W39">
        <f t="shared" si="4"/>
        <v>0.61404000000000003</v>
      </c>
      <c r="X39">
        <f t="shared" si="4"/>
        <v>0.66666999999999998</v>
      </c>
    </row>
    <row r="40" spans="1:24" x14ac:dyDescent="0.2">
      <c r="C40" s="34" t="s">
        <v>85</v>
      </c>
      <c r="D40">
        <f>D19</f>
        <v>1.6667000000000001</v>
      </c>
      <c r="E40">
        <f t="shared" ref="E40:X40" si="5">E19</f>
        <v>1.6666700000000001</v>
      </c>
      <c r="F40">
        <f t="shared" si="5"/>
        <v>1.6666700000000001</v>
      </c>
      <c r="G40">
        <f t="shared" si="5"/>
        <v>1.6666700000000001</v>
      </c>
      <c r="H40">
        <f t="shared" si="5"/>
        <v>1.6666700000000001</v>
      </c>
      <c r="I40">
        <f t="shared" si="5"/>
        <v>1.6666700000000001</v>
      </c>
      <c r="J40">
        <f t="shared" si="5"/>
        <v>1.6666700000000001</v>
      </c>
      <c r="K40">
        <f t="shared" si="5"/>
        <v>1.6666700000000001</v>
      </c>
      <c r="L40">
        <f t="shared" si="5"/>
        <v>1.6666700000000001</v>
      </c>
      <c r="M40">
        <f t="shared" si="5"/>
        <v>1.6666700000000001</v>
      </c>
      <c r="N40">
        <f t="shared" si="5"/>
        <v>1.6666700000000001</v>
      </c>
      <c r="O40">
        <f t="shared" si="5"/>
        <v>1.6666700000000001</v>
      </c>
      <c r="P40">
        <f t="shared" si="5"/>
        <v>1.6666700000000001</v>
      </c>
      <c r="Q40">
        <f t="shared" si="5"/>
        <v>1.6666700000000001</v>
      </c>
      <c r="R40">
        <f t="shared" si="5"/>
        <v>1.6666700000000001</v>
      </c>
      <c r="S40">
        <f t="shared" si="5"/>
        <v>1.6666700000000001</v>
      </c>
      <c r="T40">
        <f t="shared" si="5"/>
        <v>1.6666700000000001</v>
      </c>
      <c r="U40">
        <f t="shared" si="5"/>
        <v>1.6666700000000001</v>
      </c>
      <c r="V40">
        <f t="shared" si="5"/>
        <v>1.6666700000000001</v>
      </c>
      <c r="W40">
        <f t="shared" si="5"/>
        <v>1.6666700000000001</v>
      </c>
      <c r="X40">
        <f t="shared" si="5"/>
        <v>1.6666700000000001</v>
      </c>
    </row>
    <row r="41" spans="1:24" x14ac:dyDescent="0.2">
      <c r="C41" s="34" t="s">
        <v>82</v>
      </c>
      <c r="D41">
        <f>D20</f>
        <v>0</v>
      </c>
      <c r="E41">
        <f>E20</f>
        <v>0</v>
      </c>
      <c r="F41">
        <f>F20</f>
        <v>0</v>
      </c>
      <c r="G41">
        <f>G20</f>
        <v>0</v>
      </c>
      <c r="H41">
        <f>H20</f>
        <v>0</v>
      </c>
      <c r="I41">
        <f>I20</f>
        <v>0</v>
      </c>
      <c r="J41">
        <f>J20</f>
        <v>0</v>
      </c>
      <c r="K41">
        <f>K20</f>
        <v>0</v>
      </c>
      <c r="L41">
        <f>L20</f>
        <v>0</v>
      </c>
      <c r="M41">
        <f>M20</f>
        <v>0</v>
      </c>
      <c r="N41">
        <f>N20</f>
        <v>0</v>
      </c>
      <c r="O41">
        <f>O20</f>
        <v>500</v>
      </c>
      <c r="P41">
        <f>P20</f>
        <v>1000</v>
      </c>
      <c r="Q41">
        <f>Q20</f>
        <v>1000</v>
      </c>
      <c r="R41">
        <f>R20</f>
        <v>1000</v>
      </c>
      <c r="S41">
        <f>S20</f>
        <v>1000</v>
      </c>
      <c r="T41">
        <f>T20</f>
        <v>1000</v>
      </c>
      <c r="U41">
        <f>U20</f>
        <v>1000</v>
      </c>
      <c r="V41">
        <f>V20</f>
        <v>1000</v>
      </c>
      <c r="W41">
        <f>W20</f>
        <v>1000</v>
      </c>
      <c r="X41">
        <f>X20</f>
        <v>1000</v>
      </c>
    </row>
    <row r="43" spans="1:24" x14ac:dyDescent="0.2">
      <c r="B43" t="s">
        <v>83</v>
      </c>
      <c r="C43" s="34" t="s">
        <v>45</v>
      </c>
      <c r="D43">
        <f>D9</f>
        <v>0.1</v>
      </c>
      <c r="E43">
        <f t="shared" ref="E43:X43" si="6">E9</f>
        <v>50</v>
      </c>
      <c r="F43">
        <f t="shared" si="6"/>
        <v>100</v>
      </c>
      <c r="G43">
        <f t="shared" si="6"/>
        <v>150</v>
      </c>
      <c r="H43">
        <f t="shared" si="6"/>
        <v>200</v>
      </c>
      <c r="I43">
        <f t="shared" si="6"/>
        <v>250</v>
      </c>
      <c r="J43">
        <f t="shared" si="6"/>
        <v>300</v>
      </c>
      <c r="K43">
        <f t="shared" si="6"/>
        <v>350</v>
      </c>
      <c r="L43">
        <f t="shared" si="6"/>
        <v>400</v>
      </c>
      <c r="M43">
        <f t="shared" si="6"/>
        <v>450</v>
      </c>
      <c r="N43">
        <f t="shared" si="6"/>
        <v>500</v>
      </c>
      <c r="O43">
        <f t="shared" si="6"/>
        <v>550</v>
      </c>
      <c r="P43">
        <f t="shared" si="6"/>
        <v>600</v>
      </c>
      <c r="Q43">
        <f t="shared" si="6"/>
        <v>650</v>
      </c>
      <c r="R43">
        <f t="shared" si="6"/>
        <v>700</v>
      </c>
      <c r="S43">
        <f t="shared" si="6"/>
        <v>750</v>
      </c>
      <c r="T43">
        <f t="shared" si="6"/>
        <v>800</v>
      </c>
      <c r="U43">
        <f t="shared" si="6"/>
        <v>850</v>
      </c>
      <c r="V43">
        <f t="shared" si="6"/>
        <v>900</v>
      </c>
      <c r="W43">
        <f t="shared" si="6"/>
        <v>950</v>
      </c>
      <c r="X43">
        <f t="shared" si="6"/>
        <v>1000</v>
      </c>
    </row>
    <row r="44" spans="1:24" x14ac:dyDescent="0.2">
      <c r="C44" s="34" t="s">
        <v>82</v>
      </c>
      <c r="D44">
        <f>D29</f>
        <v>4999</v>
      </c>
      <c r="E44">
        <f t="shared" ref="E44:X44" si="7">E29</f>
        <v>4500</v>
      </c>
      <c r="F44">
        <f t="shared" si="7"/>
        <v>4000</v>
      </c>
      <c r="G44">
        <f t="shared" si="7"/>
        <v>3500</v>
      </c>
      <c r="H44">
        <f t="shared" si="7"/>
        <v>3000</v>
      </c>
      <c r="I44">
        <f t="shared" si="7"/>
        <v>2500</v>
      </c>
      <c r="J44">
        <f t="shared" si="7"/>
        <v>2000</v>
      </c>
      <c r="K44">
        <f t="shared" si="7"/>
        <v>1500</v>
      </c>
      <c r="L44">
        <f t="shared" si="7"/>
        <v>1000</v>
      </c>
      <c r="M44">
        <f t="shared" si="7"/>
        <v>500</v>
      </c>
      <c r="N44">
        <f t="shared" si="7"/>
        <v>0</v>
      </c>
      <c r="O44">
        <f t="shared" si="7"/>
        <v>0</v>
      </c>
      <c r="P44">
        <f t="shared" si="7"/>
        <v>0</v>
      </c>
      <c r="Q44">
        <f t="shared" si="7"/>
        <v>0</v>
      </c>
      <c r="R44">
        <f t="shared" si="7"/>
        <v>0</v>
      </c>
      <c r="S44">
        <f t="shared" si="7"/>
        <v>0</v>
      </c>
      <c r="T44">
        <f t="shared" si="7"/>
        <v>0</v>
      </c>
      <c r="U44">
        <f t="shared" si="7"/>
        <v>0</v>
      </c>
      <c r="V44">
        <f t="shared" si="7"/>
        <v>0</v>
      </c>
      <c r="W44">
        <f t="shared" si="7"/>
        <v>0</v>
      </c>
      <c r="X44">
        <f t="shared" si="7"/>
        <v>0</v>
      </c>
    </row>
    <row r="45" spans="1:24" x14ac:dyDescent="0.2">
      <c r="C45" s="34" t="s">
        <v>86</v>
      </c>
      <c r="D45">
        <f>D30</f>
        <v>1</v>
      </c>
      <c r="E45">
        <f t="shared" ref="E45:X45" si="8">E30</f>
        <v>500</v>
      </c>
      <c r="F45">
        <f t="shared" si="8"/>
        <v>1000</v>
      </c>
      <c r="G45">
        <f t="shared" si="8"/>
        <v>1500</v>
      </c>
      <c r="H45">
        <f t="shared" si="8"/>
        <v>2000</v>
      </c>
      <c r="I45">
        <f t="shared" si="8"/>
        <v>2500</v>
      </c>
      <c r="J45">
        <f t="shared" si="8"/>
        <v>3000</v>
      </c>
      <c r="K45">
        <f t="shared" si="8"/>
        <v>3500</v>
      </c>
      <c r="L45">
        <f t="shared" si="8"/>
        <v>4000</v>
      </c>
      <c r="M45">
        <f t="shared" si="8"/>
        <v>4500</v>
      </c>
      <c r="N45">
        <f t="shared" si="8"/>
        <v>5000</v>
      </c>
      <c r="O45">
        <f t="shared" si="8"/>
        <v>5000</v>
      </c>
      <c r="P45">
        <f t="shared" si="8"/>
        <v>5000</v>
      </c>
      <c r="Q45">
        <f t="shared" si="8"/>
        <v>5000</v>
      </c>
      <c r="R45">
        <f t="shared" si="8"/>
        <v>5000</v>
      </c>
      <c r="S45">
        <f t="shared" si="8"/>
        <v>5000</v>
      </c>
      <c r="T45">
        <f t="shared" si="8"/>
        <v>5000</v>
      </c>
      <c r="U45">
        <f t="shared" si="8"/>
        <v>5000</v>
      </c>
      <c r="V45">
        <f t="shared" si="8"/>
        <v>5000</v>
      </c>
      <c r="W45">
        <f t="shared" si="8"/>
        <v>5000</v>
      </c>
      <c r="X45">
        <f t="shared" si="8"/>
        <v>5000</v>
      </c>
    </row>
    <row r="46" spans="1:24" x14ac:dyDescent="0.2">
      <c r="C46" s="34" t="s">
        <v>87</v>
      </c>
      <c r="D46">
        <f>D31</f>
        <v>5000</v>
      </c>
      <c r="E46">
        <f t="shared" ref="E46:X46" si="9">E31</f>
        <v>5000</v>
      </c>
      <c r="F46">
        <f t="shared" si="9"/>
        <v>5000</v>
      </c>
      <c r="G46">
        <f t="shared" si="9"/>
        <v>5000</v>
      </c>
      <c r="H46">
        <f t="shared" si="9"/>
        <v>5000</v>
      </c>
      <c r="I46">
        <f t="shared" si="9"/>
        <v>5000</v>
      </c>
      <c r="J46">
        <f t="shared" si="9"/>
        <v>5000</v>
      </c>
      <c r="K46">
        <f t="shared" si="9"/>
        <v>5000</v>
      </c>
      <c r="L46">
        <f t="shared" si="9"/>
        <v>5000</v>
      </c>
      <c r="M46">
        <f t="shared" si="9"/>
        <v>5000</v>
      </c>
      <c r="N46">
        <f t="shared" si="9"/>
        <v>5000</v>
      </c>
      <c r="O46">
        <f t="shared" si="9"/>
        <v>5000</v>
      </c>
      <c r="P46">
        <f t="shared" si="9"/>
        <v>5000</v>
      </c>
      <c r="Q46">
        <f t="shared" si="9"/>
        <v>5000</v>
      </c>
      <c r="R46">
        <f t="shared" si="9"/>
        <v>5000</v>
      </c>
      <c r="S46">
        <f t="shared" si="9"/>
        <v>5000</v>
      </c>
      <c r="T46">
        <f t="shared" si="9"/>
        <v>5000</v>
      </c>
      <c r="U46">
        <f t="shared" si="9"/>
        <v>5000</v>
      </c>
      <c r="V46">
        <f t="shared" si="9"/>
        <v>5000</v>
      </c>
      <c r="W46">
        <f t="shared" si="9"/>
        <v>5000</v>
      </c>
      <c r="X46">
        <f t="shared" si="9"/>
        <v>5000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BD2AF-6466-8A4A-BA48-5524128B4B75}">
  <sheetPr codeName="Sheet2"/>
  <dimension ref="A1:U60"/>
  <sheetViews>
    <sheetView showGridLines="0" topLeftCell="A26" workbookViewId="0">
      <selection activeCell="J39" sqref="J39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54</v>
      </c>
      <c r="D29">
        <f>D27</f>
        <v>10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ref="K34" si="3">K33*10^18</f>
        <v>5E+20</v>
      </c>
      <c r="L34" s="6">
        <f t="shared" ref="L34" si="4">L33*10^18</f>
        <v>1E+21</v>
      </c>
      <c r="M34" s="6">
        <f t="shared" ref="M34" si="5">M33*10^18</f>
        <v>2.5E+21</v>
      </c>
      <c r="N34" s="6">
        <f t="shared" ref="N34" si="6">N33*10^18</f>
        <v>5E+21</v>
      </c>
      <c r="O34" s="6">
        <f t="shared" ref="O34" si="7">O33*10^18</f>
        <v>7.5E+21</v>
      </c>
      <c r="P34" s="6">
        <f t="shared" ref="P34" si="8">P33*10^18</f>
        <v>1E+22</v>
      </c>
      <c r="Q34" s="6">
        <f t="shared" ref="Q34" si="9">Q33*10^18</f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2" t="s">
        <v>25</v>
      </c>
      <c r="C35">
        <f t="shared" ref="C35:J35" si="10">C36/10^18</f>
        <v>0</v>
      </c>
      <c r="D35">
        <f t="shared" si="10"/>
        <v>0</v>
      </c>
      <c r="E35">
        <f t="shared" si="10"/>
        <v>0</v>
      </c>
      <c r="F35">
        <f t="shared" si="10"/>
        <v>0</v>
      </c>
      <c r="G35" s="8">
        <f t="shared" si="10"/>
        <v>0</v>
      </c>
      <c r="H35">
        <f t="shared" si="10"/>
        <v>50</v>
      </c>
      <c r="I35">
        <f t="shared" si="10"/>
        <v>100</v>
      </c>
      <c r="J35">
        <f t="shared" si="10"/>
        <v>200</v>
      </c>
      <c r="K35">
        <f t="shared" ref="K35:Q35" si="11">K36/10^18</f>
        <v>300</v>
      </c>
      <c r="L35">
        <f t="shared" si="11"/>
        <v>800</v>
      </c>
      <c r="M35">
        <f t="shared" si="11"/>
        <v>2300</v>
      </c>
      <c r="N35">
        <f t="shared" si="11"/>
        <v>4800</v>
      </c>
      <c r="O35">
        <f t="shared" si="11"/>
        <v>7300</v>
      </c>
      <c r="P35">
        <f t="shared" si="11"/>
        <v>9800</v>
      </c>
      <c r="Q35">
        <f t="shared" si="11"/>
        <v>19800.000000000004</v>
      </c>
      <c r="R35">
        <f>R36/10^18</f>
        <v>29799.999999999996</v>
      </c>
      <c r="S35">
        <f>S36/10^18</f>
        <v>39800</v>
      </c>
      <c r="T35">
        <f>T36/10^18</f>
        <v>49800</v>
      </c>
      <c r="U35" t="s">
        <v>38</v>
      </c>
    </row>
    <row r="36" spans="1:21" x14ac:dyDescent="0.2">
      <c r="B36" s="7" t="s">
        <v>30</v>
      </c>
      <c r="C36" s="4">
        <f t="shared" ref="C36:T36" si="12">MAX(0,C34-STRIKE)</f>
        <v>0</v>
      </c>
      <c r="D36" s="4">
        <f t="shared" si="12"/>
        <v>0</v>
      </c>
      <c r="E36" s="4">
        <f t="shared" si="12"/>
        <v>0</v>
      </c>
      <c r="F36" s="4">
        <f t="shared" si="12"/>
        <v>0</v>
      </c>
      <c r="G36" s="10">
        <f t="shared" si="12"/>
        <v>0</v>
      </c>
      <c r="H36" s="4">
        <f t="shared" si="12"/>
        <v>5E+19</v>
      </c>
      <c r="I36" s="4">
        <f t="shared" si="12"/>
        <v>1E+20</v>
      </c>
      <c r="J36" s="4">
        <f t="shared" si="12"/>
        <v>2E+20</v>
      </c>
      <c r="K36" s="4">
        <f t="shared" si="12"/>
        <v>3E+20</v>
      </c>
      <c r="L36" s="4">
        <f t="shared" si="12"/>
        <v>8E+20</v>
      </c>
      <c r="M36" s="4">
        <f t="shared" si="12"/>
        <v>2.3E+21</v>
      </c>
      <c r="N36" s="4">
        <f t="shared" si="12"/>
        <v>4.8E+21</v>
      </c>
      <c r="O36" s="4">
        <f t="shared" si="12"/>
        <v>7.3E+21</v>
      </c>
      <c r="P36" s="4">
        <f t="shared" si="12"/>
        <v>9.8E+21</v>
      </c>
      <c r="Q36" s="4">
        <f t="shared" si="12"/>
        <v>1.9800000000000002E+22</v>
      </c>
      <c r="R36" s="4">
        <f t="shared" si="12"/>
        <v>2.9799999999999998E+22</v>
      </c>
      <c r="S36" s="4">
        <f t="shared" si="12"/>
        <v>3.9800000000000002E+22</v>
      </c>
      <c r="T36" s="4">
        <f t="shared" si="12"/>
        <v>4.9799999999999998E+22</v>
      </c>
    </row>
    <row r="37" spans="1:21" x14ac:dyDescent="0.2">
      <c r="B37" s="2" t="s">
        <v>26</v>
      </c>
      <c r="C37">
        <f>C38/10^18</f>
        <v>0</v>
      </c>
      <c r="D37">
        <f t="shared" ref="D37:T37" si="13">D38/10^18</f>
        <v>0</v>
      </c>
      <c r="E37">
        <f t="shared" si="13"/>
        <v>0</v>
      </c>
      <c r="F37">
        <f t="shared" si="13"/>
        <v>0</v>
      </c>
      <c r="G37" s="8">
        <f t="shared" si="13"/>
        <v>0</v>
      </c>
      <c r="H37">
        <f t="shared" si="13"/>
        <v>500</v>
      </c>
      <c r="I37">
        <f t="shared" si="13"/>
        <v>1000</v>
      </c>
      <c r="J37">
        <f t="shared" si="13"/>
        <v>2000</v>
      </c>
      <c r="K37">
        <f t="shared" ref="K37" si="14">K38/10^18</f>
        <v>3000</v>
      </c>
      <c r="L37">
        <f t="shared" ref="L37" si="15">L38/10^18</f>
        <v>8000</v>
      </c>
      <c r="M37">
        <f t="shared" ref="M37" si="16">M38/10^18</f>
        <v>23000.000000000004</v>
      </c>
      <c r="N37">
        <f t="shared" ref="N37" si="17">N38/10^18</f>
        <v>48000</v>
      </c>
      <c r="O37">
        <f t="shared" ref="O37" si="18">O38/10^18</f>
        <v>73000</v>
      </c>
      <c r="P37">
        <f t="shared" ref="P37" si="19">P38/10^18</f>
        <v>98000</v>
      </c>
      <c r="Q37">
        <f t="shared" ref="Q37" si="20">Q38/10^18</f>
        <v>198000</v>
      </c>
      <c r="R37">
        <f t="shared" si="13"/>
        <v>297999.99999999994</v>
      </c>
      <c r="S37">
        <f t="shared" si="13"/>
        <v>398000.00000000006</v>
      </c>
      <c r="T37">
        <f t="shared" si="13"/>
        <v>497999.99999999994</v>
      </c>
      <c r="U37" t="s">
        <v>38</v>
      </c>
    </row>
    <row r="38" spans="1:21" x14ac:dyDescent="0.2">
      <c r="B38" s="7" t="s">
        <v>62</v>
      </c>
      <c r="C38" s="5">
        <f t="shared" ref="C38:T38" si="21">C36*(BASETOKENS/10^BASEDECIMALS)</f>
        <v>0</v>
      </c>
      <c r="D38" s="5">
        <f t="shared" si="21"/>
        <v>0</v>
      </c>
      <c r="E38" s="5">
        <f t="shared" si="21"/>
        <v>0</v>
      </c>
      <c r="F38" s="5">
        <f t="shared" si="21"/>
        <v>0</v>
      </c>
      <c r="G38" s="11">
        <f t="shared" si="21"/>
        <v>0</v>
      </c>
      <c r="H38" s="5">
        <f t="shared" si="21"/>
        <v>5E+20</v>
      </c>
      <c r="I38" s="5">
        <f t="shared" si="21"/>
        <v>1E+21</v>
      </c>
      <c r="J38" s="5">
        <f t="shared" si="21"/>
        <v>2E+21</v>
      </c>
      <c r="K38" s="5">
        <f t="shared" si="21"/>
        <v>3E+21</v>
      </c>
      <c r="L38" s="5">
        <f t="shared" si="21"/>
        <v>8E+21</v>
      </c>
      <c r="M38" s="5">
        <f t="shared" si="21"/>
        <v>2.3000000000000002E+22</v>
      </c>
      <c r="N38" s="5">
        <f t="shared" si="21"/>
        <v>4.8E+22</v>
      </c>
      <c r="O38" s="5">
        <f t="shared" si="21"/>
        <v>7.2999999999999998E+22</v>
      </c>
      <c r="P38" s="5">
        <f t="shared" si="21"/>
        <v>9.7999999999999996E+22</v>
      </c>
      <c r="Q38" s="5">
        <f t="shared" si="21"/>
        <v>1.98E+23</v>
      </c>
      <c r="R38" s="5">
        <f t="shared" si="21"/>
        <v>2.9799999999999996E+23</v>
      </c>
      <c r="S38" s="5">
        <f t="shared" si="21"/>
        <v>3.9800000000000005E+23</v>
      </c>
      <c r="T38" s="5">
        <f t="shared" si="21"/>
        <v>4.9799999999999995E+23</v>
      </c>
    </row>
    <row r="39" spans="1:21" x14ac:dyDescent="0.2">
      <c r="B39" s="14" t="s">
        <v>27</v>
      </c>
      <c r="C39" s="18">
        <f>C40/10^18</f>
        <v>0</v>
      </c>
      <c r="D39" s="18">
        <f t="shared" ref="D39" si="22">D40/10^18</f>
        <v>0</v>
      </c>
      <c r="E39" s="18">
        <f t="shared" ref="E39" si="23">E40/10^18</f>
        <v>0</v>
      </c>
      <c r="F39" s="18">
        <f t="shared" ref="F39" si="24">F40/10^18</f>
        <v>0</v>
      </c>
      <c r="G39" s="19">
        <f t="shared" ref="G39" si="25">G40/10^18</f>
        <v>0</v>
      </c>
      <c r="H39" s="18">
        <f t="shared" ref="H39" si="26">H40/10^18</f>
        <v>0.2</v>
      </c>
      <c r="I39" s="18">
        <f t="shared" ref="I39" si="27">I40/10^18</f>
        <v>0.33333333333333331</v>
      </c>
      <c r="J39" s="18">
        <f t="shared" ref="J39" si="28">J40/10^18</f>
        <v>0.5</v>
      </c>
      <c r="K39" s="18">
        <f t="shared" ref="K39" si="29">K40/10^18</f>
        <v>0.6</v>
      </c>
      <c r="L39" s="18">
        <f t="shared" ref="L39" si="30">L40/10^18</f>
        <v>0.8</v>
      </c>
      <c r="M39" s="18">
        <f t="shared" ref="M39" si="31">M40/10^18</f>
        <v>0.92</v>
      </c>
      <c r="N39" s="18">
        <f t="shared" ref="N39" si="32">N40/10^18</f>
        <v>0.96</v>
      </c>
      <c r="O39" s="18">
        <f t="shared" ref="O39" si="33">O40/10^18</f>
        <v>0.97333333333333338</v>
      </c>
      <c r="P39" s="18">
        <f t="shared" ref="P39" si="34">P40/10^18</f>
        <v>0.98</v>
      </c>
      <c r="Q39" s="18">
        <f t="shared" ref="Q39" si="35">Q40/10^18</f>
        <v>0.9900000000000001</v>
      </c>
      <c r="R39" s="18">
        <f t="shared" ref="R39:T39" si="36">R40/10^18</f>
        <v>0.99333333333333329</v>
      </c>
      <c r="S39" s="18">
        <f t="shared" si="36"/>
        <v>0.995</v>
      </c>
      <c r="T39" s="18">
        <f t="shared" si="36"/>
        <v>0.99600000000000011</v>
      </c>
      <c r="U39" s="18" t="s">
        <v>37</v>
      </c>
    </row>
    <row r="40" spans="1:21" x14ac:dyDescent="0.2">
      <c r="B40" s="7" t="s">
        <v>49</v>
      </c>
      <c r="C40" s="5">
        <f t="shared" ref="C40:T40" si="37">C36/(C$34 / 10^RATEDECIMALS)</f>
        <v>0</v>
      </c>
      <c r="D40" s="5">
        <f t="shared" si="37"/>
        <v>0</v>
      </c>
      <c r="E40" s="5">
        <f t="shared" si="37"/>
        <v>0</v>
      </c>
      <c r="F40" s="5">
        <f t="shared" si="37"/>
        <v>0</v>
      </c>
      <c r="G40" s="11">
        <f t="shared" si="37"/>
        <v>0</v>
      </c>
      <c r="H40" s="5">
        <f t="shared" si="37"/>
        <v>2E+17</v>
      </c>
      <c r="I40" s="5">
        <f t="shared" si="37"/>
        <v>3.3333333333333331E+17</v>
      </c>
      <c r="J40" s="5">
        <f t="shared" si="37"/>
        <v>5E+17</v>
      </c>
      <c r="K40" s="5">
        <f t="shared" si="37"/>
        <v>6E+17</v>
      </c>
      <c r="L40" s="5">
        <f t="shared" si="37"/>
        <v>8E+17</v>
      </c>
      <c r="M40" s="5">
        <f t="shared" si="37"/>
        <v>9.2E+17</v>
      </c>
      <c r="N40" s="5">
        <f t="shared" si="37"/>
        <v>9.6E+17</v>
      </c>
      <c r="O40" s="5">
        <f t="shared" si="37"/>
        <v>9.7333333333333338E+17</v>
      </c>
      <c r="P40" s="5">
        <f t="shared" si="37"/>
        <v>9.8E+17</v>
      </c>
      <c r="Q40" s="5">
        <f t="shared" si="37"/>
        <v>9.9000000000000013E+17</v>
      </c>
      <c r="R40" s="5">
        <f t="shared" si="37"/>
        <v>9.9333333333333325E+17</v>
      </c>
      <c r="S40" s="5">
        <f t="shared" si="37"/>
        <v>9.95E+17</v>
      </c>
      <c r="T40" s="5">
        <f t="shared" si="37"/>
        <v>9.9600000000000013E+17</v>
      </c>
    </row>
    <row r="41" spans="1:21" x14ac:dyDescent="0.2">
      <c r="B41" s="14" t="s">
        <v>28</v>
      </c>
      <c r="C41" s="18">
        <f>C42/10^18</f>
        <v>0</v>
      </c>
      <c r="D41" s="18">
        <f t="shared" ref="D41" si="38">D42/10^18</f>
        <v>0</v>
      </c>
      <c r="E41" s="18">
        <f t="shared" ref="E41" si="39">E42/10^18</f>
        <v>0</v>
      </c>
      <c r="F41" s="18">
        <f t="shared" ref="F41" si="40">F42/10^18</f>
        <v>0</v>
      </c>
      <c r="G41" s="19">
        <f t="shared" ref="G41" si="41">G42/10^18</f>
        <v>0</v>
      </c>
      <c r="H41" s="18">
        <f t="shared" ref="H41" si="42">H42/10^18</f>
        <v>2</v>
      </c>
      <c r="I41" s="18">
        <f t="shared" ref="I41" si="43">I42/10^18</f>
        <v>3.333333333333333</v>
      </c>
      <c r="J41" s="18">
        <f t="shared" ref="J41" si="44">J42/10^18</f>
        <v>5</v>
      </c>
      <c r="K41" s="18">
        <f t="shared" ref="K41" si="45">K42/10^18</f>
        <v>6</v>
      </c>
      <c r="L41" s="18">
        <f t="shared" ref="L41" si="46">L42/10^18</f>
        <v>8</v>
      </c>
      <c r="M41" s="18">
        <f t="shared" ref="M41" si="47">M42/10^18</f>
        <v>9.1999999999999993</v>
      </c>
      <c r="N41" s="18">
        <f t="shared" ref="N41" si="48">N42/10^18</f>
        <v>9.6</v>
      </c>
      <c r="O41" s="18">
        <f t="shared" ref="O41" si="49">O42/10^18</f>
        <v>9.7333333333333343</v>
      </c>
      <c r="P41" s="18">
        <f t="shared" ref="P41" si="50">P42/10^18</f>
        <v>9.8000000000000007</v>
      </c>
      <c r="Q41" s="18">
        <f t="shared" ref="Q41" si="51">Q42/10^18</f>
        <v>9.9000000000000021</v>
      </c>
      <c r="R41" s="18">
        <f t="shared" ref="R41:S41" si="52">R42/10^18</f>
        <v>9.9333333333333318</v>
      </c>
      <c r="S41" s="18">
        <f t="shared" si="52"/>
        <v>9.9499999999999993</v>
      </c>
      <c r="T41" s="18">
        <f t="shared" ref="T41" si="53">T42/10^18</f>
        <v>9.9600000000000026</v>
      </c>
      <c r="U41" s="18" t="s">
        <v>37</v>
      </c>
    </row>
    <row r="42" spans="1:21" x14ac:dyDescent="0.2">
      <c r="B42" s="12" t="s">
        <v>61</v>
      </c>
      <c r="C42" s="6">
        <f t="shared" ref="C42:T42" si="54">C40*(BASETOKENS/10^BASEDECIMALS)</f>
        <v>0</v>
      </c>
      <c r="D42" s="6">
        <f t="shared" si="54"/>
        <v>0</v>
      </c>
      <c r="E42" s="6">
        <f t="shared" si="54"/>
        <v>0</v>
      </c>
      <c r="F42" s="6">
        <f t="shared" si="54"/>
        <v>0</v>
      </c>
      <c r="G42" s="9">
        <f t="shared" si="54"/>
        <v>0</v>
      </c>
      <c r="H42" s="6">
        <f t="shared" si="54"/>
        <v>2E+18</v>
      </c>
      <c r="I42" s="6">
        <f t="shared" si="54"/>
        <v>3.333333333333333E+18</v>
      </c>
      <c r="J42" s="6">
        <f t="shared" si="54"/>
        <v>5E+18</v>
      </c>
      <c r="K42" s="6">
        <f t="shared" si="54"/>
        <v>6E+18</v>
      </c>
      <c r="L42" s="6">
        <f t="shared" si="54"/>
        <v>8E+18</v>
      </c>
      <c r="M42" s="6">
        <f t="shared" si="54"/>
        <v>9.2E+18</v>
      </c>
      <c r="N42" s="6">
        <f t="shared" si="54"/>
        <v>9.6E+18</v>
      </c>
      <c r="O42" s="6">
        <f t="shared" si="54"/>
        <v>9.733333333333334E+18</v>
      </c>
      <c r="P42" s="6">
        <f t="shared" si="54"/>
        <v>9.8E+18</v>
      </c>
      <c r="Q42" s="6">
        <f t="shared" si="54"/>
        <v>9.900000000000002E+18</v>
      </c>
      <c r="R42" s="6">
        <f t="shared" si="54"/>
        <v>9.933333333333332E+18</v>
      </c>
      <c r="S42" s="6">
        <f t="shared" si="54"/>
        <v>9.95E+18</v>
      </c>
      <c r="T42" s="6">
        <f t="shared" si="54"/>
        <v>9.960000000000002E+18</v>
      </c>
    </row>
    <row r="43" spans="1:21" x14ac:dyDescent="0.2">
      <c r="A43" t="s">
        <v>35</v>
      </c>
      <c r="B43" s="2" t="s">
        <v>29</v>
      </c>
      <c r="C43">
        <f>C44/10^18</f>
        <v>0.1</v>
      </c>
      <c r="D43">
        <f t="shared" ref="D43:T43" si="55">D44/10^18</f>
        <v>50</v>
      </c>
      <c r="E43">
        <f t="shared" si="55"/>
        <v>100</v>
      </c>
      <c r="F43">
        <f t="shared" si="55"/>
        <v>150</v>
      </c>
      <c r="G43" s="8">
        <f t="shared" si="55"/>
        <v>200</v>
      </c>
      <c r="H43">
        <f t="shared" si="55"/>
        <v>200</v>
      </c>
      <c r="I43">
        <f t="shared" si="55"/>
        <v>200</v>
      </c>
      <c r="J43">
        <f t="shared" si="55"/>
        <v>200</v>
      </c>
      <c r="K43">
        <f t="shared" ref="K43" si="56">K44/10^18</f>
        <v>200</v>
      </c>
      <c r="L43">
        <f t="shared" ref="L43" si="57">L44/10^18</f>
        <v>200</v>
      </c>
      <c r="M43">
        <f t="shared" ref="M43" si="58">M44/10^18</f>
        <v>200</v>
      </c>
      <c r="N43">
        <f t="shared" ref="N43" si="59">N44/10^18</f>
        <v>200</v>
      </c>
      <c r="O43">
        <f t="shared" ref="O43" si="60">O44/10^18</f>
        <v>200</v>
      </c>
      <c r="P43">
        <f t="shared" ref="P43" si="61">P44/10^18</f>
        <v>200</v>
      </c>
      <c r="Q43">
        <f t="shared" ref="Q43" si="62">Q44/10^18</f>
        <v>199.9999999999979</v>
      </c>
      <c r="R43">
        <f t="shared" si="55"/>
        <v>200.0000000000021</v>
      </c>
      <c r="S43">
        <f t="shared" si="55"/>
        <v>199.9999999999979</v>
      </c>
      <c r="T43">
        <f t="shared" si="55"/>
        <v>199.9999999999979</v>
      </c>
      <c r="U43" t="s">
        <v>38</v>
      </c>
    </row>
    <row r="44" spans="1:21" x14ac:dyDescent="0.2">
      <c r="B44" s="7" t="s">
        <v>32</v>
      </c>
      <c r="C44" s="4">
        <f>C34-C36</f>
        <v>1E+17</v>
      </c>
      <c r="D44" s="4">
        <f t="shared" ref="D44:T44" si="63">D34-D36</f>
        <v>5E+19</v>
      </c>
      <c r="E44" s="4">
        <f t="shared" si="63"/>
        <v>1E+20</v>
      </c>
      <c r="F44" s="4">
        <f t="shared" si="63"/>
        <v>1.5E+20</v>
      </c>
      <c r="G44" s="10">
        <f t="shared" si="63"/>
        <v>2E+20</v>
      </c>
      <c r="H44" s="4">
        <f t="shared" si="63"/>
        <v>2E+20</v>
      </c>
      <c r="I44" s="4">
        <f t="shared" si="63"/>
        <v>2E+20</v>
      </c>
      <c r="J44" s="4">
        <f t="shared" si="63"/>
        <v>2E+20</v>
      </c>
      <c r="K44" s="4">
        <f t="shared" ref="K44:Q44" si="64">K34-K36</f>
        <v>2E+20</v>
      </c>
      <c r="L44" s="4">
        <f t="shared" si="64"/>
        <v>2E+20</v>
      </c>
      <c r="M44" s="4">
        <f t="shared" si="64"/>
        <v>2E+20</v>
      </c>
      <c r="N44" s="4">
        <f t="shared" si="64"/>
        <v>2E+20</v>
      </c>
      <c r="O44" s="4">
        <f t="shared" si="64"/>
        <v>2E+20</v>
      </c>
      <c r="P44" s="4">
        <f t="shared" si="64"/>
        <v>2E+20</v>
      </c>
      <c r="Q44" s="4">
        <f t="shared" si="64"/>
        <v>1.999999999999979E+20</v>
      </c>
      <c r="R44" s="4">
        <f t="shared" si="63"/>
        <v>2.000000000000021E+20</v>
      </c>
      <c r="S44" s="4">
        <f t="shared" ref="S44" si="65">S34-S36</f>
        <v>1.999999999999979E+20</v>
      </c>
      <c r="T44" s="4">
        <f t="shared" si="63"/>
        <v>1.999999999999979E+20</v>
      </c>
    </row>
    <row r="45" spans="1:21" x14ac:dyDescent="0.2">
      <c r="B45" s="2" t="s">
        <v>31</v>
      </c>
      <c r="C45">
        <f>C46/10^18</f>
        <v>1</v>
      </c>
      <c r="D45">
        <f t="shared" ref="D45" si="66">D46/10^18</f>
        <v>500</v>
      </c>
      <c r="E45">
        <f t="shared" ref="E45" si="67">E46/10^18</f>
        <v>1000</v>
      </c>
      <c r="F45">
        <f t="shared" ref="F45" si="68">F46/10^18</f>
        <v>1500</v>
      </c>
      <c r="G45" s="8">
        <f t="shared" ref="G45" si="69">G46/10^18</f>
        <v>2000</v>
      </c>
      <c r="H45">
        <f t="shared" ref="H45" si="70">H46/10^18</f>
        <v>2000</v>
      </c>
      <c r="I45">
        <f t="shared" ref="I45" si="71">I46/10^18</f>
        <v>2000</v>
      </c>
      <c r="J45">
        <f t="shared" ref="J45" si="72">J46/10^18</f>
        <v>2000</v>
      </c>
      <c r="K45">
        <f t="shared" ref="K45" si="73">K46/10^18</f>
        <v>2000</v>
      </c>
      <c r="L45">
        <f t="shared" ref="L45" si="74">L46/10^18</f>
        <v>2000</v>
      </c>
      <c r="M45">
        <f t="shared" ref="M45" si="75">M46/10^18</f>
        <v>2000</v>
      </c>
      <c r="N45">
        <f t="shared" ref="N45" si="76">N46/10^18</f>
        <v>2000</v>
      </c>
      <c r="O45">
        <f t="shared" ref="O45" si="77">O46/10^18</f>
        <v>2000</v>
      </c>
      <c r="P45">
        <f t="shared" ref="P45" si="78">P46/10^18</f>
        <v>2000</v>
      </c>
      <c r="Q45">
        <f t="shared" ref="Q45" si="79">Q46/10^18</f>
        <v>1999.9999999999791</v>
      </c>
      <c r="R45">
        <f t="shared" ref="R45:S45" si="80">R46/10^18</f>
        <v>2000.0000000000209</v>
      </c>
      <c r="S45">
        <f t="shared" si="80"/>
        <v>1999.9999999999791</v>
      </c>
      <c r="T45">
        <f t="shared" ref="T45" si="81">T46/10^18</f>
        <v>1999.9999999999791</v>
      </c>
      <c r="U45" t="s">
        <v>38</v>
      </c>
    </row>
    <row r="46" spans="1:21" x14ac:dyDescent="0.2">
      <c r="B46" s="7" t="s">
        <v>60</v>
      </c>
      <c r="C46" s="5">
        <f t="shared" ref="C46:T46" si="82">C44*(BASETOKENS/10^BASEDECIMALS)</f>
        <v>1E+18</v>
      </c>
      <c r="D46" s="5">
        <f t="shared" si="82"/>
        <v>5E+20</v>
      </c>
      <c r="E46" s="5">
        <f t="shared" si="82"/>
        <v>1E+21</v>
      </c>
      <c r="F46" s="5">
        <f t="shared" si="82"/>
        <v>1.5E+21</v>
      </c>
      <c r="G46" s="11">
        <f t="shared" si="82"/>
        <v>2E+21</v>
      </c>
      <c r="H46" s="5">
        <f t="shared" si="82"/>
        <v>2E+21</v>
      </c>
      <c r="I46" s="5">
        <f t="shared" si="82"/>
        <v>2E+21</v>
      </c>
      <c r="J46" s="5">
        <f t="shared" si="82"/>
        <v>2E+21</v>
      </c>
      <c r="K46" s="5">
        <f t="shared" si="82"/>
        <v>2E+21</v>
      </c>
      <c r="L46" s="5">
        <f t="shared" si="82"/>
        <v>2E+21</v>
      </c>
      <c r="M46" s="5">
        <f t="shared" si="82"/>
        <v>2E+21</v>
      </c>
      <c r="N46" s="5">
        <f t="shared" si="82"/>
        <v>2E+21</v>
      </c>
      <c r="O46" s="5">
        <f t="shared" si="82"/>
        <v>2E+21</v>
      </c>
      <c r="P46" s="5">
        <f t="shared" si="82"/>
        <v>2E+21</v>
      </c>
      <c r="Q46" s="5">
        <f t="shared" si="82"/>
        <v>1.999999999999979E+21</v>
      </c>
      <c r="R46" s="5">
        <f t="shared" si="82"/>
        <v>2.000000000000021E+21</v>
      </c>
      <c r="S46" s="5">
        <f t="shared" si="82"/>
        <v>1.999999999999979E+21</v>
      </c>
      <c r="T46" s="5">
        <f t="shared" si="82"/>
        <v>1.999999999999979E+21</v>
      </c>
    </row>
    <row r="47" spans="1:21" x14ac:dyDescent="0.2">
      <c r="B47" s="14" t="s">
        <v>33</v>
      </c>
      <c r="C47" s="18">
        <f>C48/10^18</f>
        <v>1</v>
      </c>
      <c r="D47" s="18">
        <f t="shared" ref="D47" si="83">D48/10^18</f>
        <v>1</v>
      </c>
      <c r="E47" s="18">
        <f t="shared" ref="E47" si="84">E48/10^18</f>
        <v>1</v>
      </c>
      <c r="F47" s="18">
        <f t="shared" ref="F47" si="85">F48/10^18</f>
        <v>1</v>
      </c>
      <c r="G47" s="19">
        <f t="shared" ref="G47" si="86">G48/10^18</f>
        <v>1</v>
      </c>
      <c r="H47" s="18">
        <f t="shared" ref="H47" si="87">H48/10^18</f>
        <v>0.8</v>
      </c>
      <c r="I47" s="18">
        <f t="shared" ref="I47" si="88">I48/10^18</f>
        <v>0.66666666666666663</v>
      </c>
      <c r="J47" s="18">
        <f t="shared" ref="J47" si="89">J48/10^18</f>
        <v>0.5</v>
      </c>
      <c r="K47" s="18">
        <f t="shared" ref="K47" si="90">K48/10^18</f>
        <v>0.4</v>
      </c>
      <c r="L47" s="18">
        <f t="shared" ref="L47" si="91">L48/10^18</f>
        <v>0.2</v>
      </c>
      <c r="M47" s="18">
        <f t="shared" ref="M47" si="92">M48/10^18</f>
        <v>0.08</v>
      </c>
      <c r="N47" s="18">
        <f t="shared" ref="N47" si="93">N48/10^18</f>
        <v>0.04</v>
      </c>
      <c r="O47" s="18">
        <f t="shared" ref="O47" si="94">O48/10^18</f>
        <v>2.6666666666666668E-2</v>
      </c>
      <c r="P47" s="18">
        <f t="shared" ref="P47" si="95">P48/10^18</f>
        <v>0.02</v>
      </c>
      <c r="Q47" s="18">
        <f t="shared" ref="Q47" si="96">Q48/10^18</f>
        <v>9.9999999999998961E-3</v>
      </c>
      <c r="R47" s="18">
        <f t="shared" ref="R47:S47" si="97">R48/10^18</f>
        <v>6.6666666666667374E-3</v>
      </c>
      <c r="S47" s="18">
        <f t="shared" si="97"/>
        <v>4.9999999999999481E-3</v>
      </c>
      <c r="T47" s="18">
        <f t="shared" ref="T47" si="98">T48/10^18</f>
        <v>3.9999999999999584E-3</v>
      </c>
      <c r="U47" s="18" t="s">
        <v>37</v>
      </c>
    </row>
    <row r="48" spans="1:21" x14ac:dyDescent="0.2">
      <c r="B48" s="7" t="s">
        <v>50</v>
      </c>
      <c r="C48" s="5">
        <f t="shared" ref="C48:T48" si="99">C44/(C$34/10^RATEDECIMALS)</f>
        <v>1E+18</v>
      </c>
      <c r="D48" s="5">
        <f t="shared" si="99"/>
        <v>1E+18</v>
      </c>
      <c r="E48" s="5">
        <f t="shared" si="99"/>
        <v>1E+18</v>
      </c>
      <c r="F48" s="5">
        <f t="shared" si="99"/>
        <v>1E+18</v>
      </c>
      <c r="G48" s="11">
        <f t="shared" si="99"/>
        <v>1E+18</v>
      </c>
      <c r="H48" s="5">
        <f t="shared" si="99"/>
        <v>8E+17</v>
      </c>
      <c r="I48" s="5">
        <f t="shared" si="99"/>
        <v>6.6666666666666662E+17</v>
      </c>
      <c r="J48" s="5">
        <f t="shared" si="99"/>
        <v>5E+17</v>
      </c>
      <c r="K48" s="5">
        <f t="shared" si="99"/>
        <v>4E+17</v>
      </c>
      <c r="L48" s="5">
        <f t="shared" si="99"/>
        <v>2E+17</v>
      </c>
      <c r="M48" s="5">
        <f t="shared" si="99"/>
        <v>8E+16</v>
      </c>
      <c r="N48" s="5">
        <f t="shared" si="99"/>
        <v>4E+16</v>
      </c>
      <c r="O48" s="5">
        <f t="shared" si="99"/>
        <v>2.6666666666666668E+16</v>
      </c>
      <c r="P48" s="5">
        <f t="shared" si="99"/>
        <v>2E+16</v>
      </c>
      <c r="Q48" s="5">
        <f t="shared" si="99"/>
        <v>9999999999999896</v>
      </c>
      <c r="R48" s="5">
        <f t="shared" si="99"/>
        <v>6666666666666737</v>
      </c>
      <c r="S48" s="5">
        <f t="shared" si="99"/>
        <v>4999999999999948</v>
      </c>
      <c r="T48" s="5">
        <f t="shared" si="99"/>
        <v>3999999999999958.5</v>
      </c>
    </row>
    <row r="49" spans="1:21" x14ac:dyDescent="0.2">
      <c r="B49" s="14" t="s">
        <v>34</v>
      </c>
      <c r="C49" s="18">
        <f>C50/10^18</f>
        <v>10</v>
      </c>
      <c r="D49" s="18">
        <f t="shared" ref="D49" si="100">D50/10^18</f>
        <v>10</v>
      </c>
      <c r="E49" s="18">
        <f t="shared" ref="E49" si="101">E50/10^18</f>
        <v>10</v>
      </c>
      <c r="F49" s="18">
        <f t="shared" ref="F49" si="102">F50/10^18</f>
        <v>10</v>
      </c>
      <c r="G49" s="19">
        <f t="shared" ref="G49" si="103">G50/10^18</f>
        <v>10</v>
      </c>
      <c r="H49" s="18">
        <f t="shared" ref="H49" si="104">H50/10^18</f>
        <v>8</v>
      </c>
      <c r="I49" s="18">
        <f t="shared" ref="I49" si="105">I50/10^18</f>
        <v>6.6666666666666661</v>
      </c>
      <c r="J49" s="18">
        <f t="shared" ref="J49" si="106">J50/10^18</f>
        <v>5</v>
      </c>
      <c r="K49" s="18">
        <f t="shared" ref="K49" si="107">K50/10^18</f>
        <v>4</v>
      </c>
      <c r="L49" s="18">
        <f t="shared" ref="L49" si="108">L50/10^18</f>
        <v>2</v>
      </c>
      <c r="M49" s="18">
        <f t="shared" ref="M49" si="109">M50/10^18</f>
        <v>0.8</v>
      </c>
      <c r="N49" s="18">
        <f t="shared" ref="N49" si="110">N50/10^18</f>
        <v>0.4</v>
      </c>
      <c r="O49" s="18">
        <f t="shared" ref="O49" si="111">O50/10^18</f>
        <v>0.26666666666666666</v>
      </c>
      <c r="P49" s="18">
        <f t="shared" ref="P49" si="112">P50/10^18</f>
        <v>0.2</v>
      </c>
      <c r="Q49" s="18">
        <f t="shared" ref="Q49" si="113">Q50/10^18</f>
        <v>9.9999999999998965E-2</v>
      </c>
      <c r="R49" s="18">
        <f t="shared" ref="R49:S49" si="114">R50/10^18</f>
        <v>6.6666666666667374E-2</v>
      </c>
      <c r="S49" s="18">
        <f t="shared" si="114"/>
        <v>4.9999999999999482E-2</v>
      </c>
      <c r="T49" s="18">
        <f t="shared" ref="T49" si="115">T50/10^18</f>
        <v>3.9999999999999584E-2</v>
      </c>
      <c r="U49" s="18" t="s">
        <v>37</v>
      </c>
    </row>
    <row r="50" spans="1:21" x14ac:dyDescent="0.2">
      <c r="B50" s="12" t="s">
        <v>51</v>
      </c>
      <c r="C50" s="6">
        <f t="shared" ref="C50:T50" si="116">C48*(BASETOKENS/10^BASEDECIMALS)</f>
        <v>1E+19</v>
      </c>
      <c r="D50" s="6">
        <f t="shared" si="116"/>
        <v>1E+19</v>
      </c>
      <c r="E50" s="6">
        <f t="shared" si="116"/>
        <v>1E+19</v>
      </c>
      <c r="F50" s="6">
        <f t="shared" si="116"/>
        <v>1E+19</v>
      </c>
      <c r="G50" s="9">
        <f t="shared" si="116"/>
        <v>1E+19</v>
      </c>
      <c r="H50" s="6">
        <f t="shared" si="116"/>
        <v>8E+18</v>
      </c>
      <c r="I50" s="6">
        <f t="shared" si="116"/>
        <v>6.666666666666666E+18</v>
      </c>
      <c r="J50" s="6">
        <f t="shared" si="116"/>
        <v>5E+18</v>
      </c>
      <c r="K50" s="6">
        <f t="shared" si="116"/>
        <v>4E+18</v>
      </c>
      <c r="L50" s="6">
        <f t="shared" si="116"/>
        <v>2E+18</v>
      </c>
      <c r="M50" s="6">
        <f t="shared" si="116"/>
        <v>8E+17</v>
      </c>
      <c r="N50" s="6">
        <f t="shared" si="116"/>
        <v>4E+17</v>
      </c>
      <c r="O50" s="6">
        <f t="shared" si="116"/>
        <v>2.6666666666666669E+17</v>
      </c>
      <c r="P50" s="6">
        <f t="shared" si="116"/>
        <v>2E+17</v>
      </c>
      <c r="Q50" s="6">
        <f t="shared" si="116"/>
        <v>9.999999999999896E+16</v>
      </c>
      <c r="R50" s="6">
        <f t="shared" si="116"/>
        <v>6.6666666666667368E+16</v>
      </c>
      <c r="S50" s="6">
        <f t="shared" si="116"/>
        <v>4.999999999999948E+16</v>
      </c>
      <c r="T50" s="6">
        <f t="shared" si="116"/>
        <v>3.9999999999999584E+16</v>
      </c>
    </row>
    <row r="51" spans="1:21" x14ac:dyDescent="0.2">
      <c r="A51" t="s">
        <v>36</v>
      </c>
      <c r="B51" s="2" t="s">
        <v>40</v>
      </c>
      <c r="C51">
        <f t="shared" ref="C51" si="117">C35+C43</f>
        <v>0.1</v>
      </c>
      <c r="D51">
        <f>D35+D43</f>
        <v>50</v>
      </c>
      <c r="E51">
        <f t="shared" ref="E51:T51" si="118">E35+E43</f>
        <v>100</v>
      </c>
      <c r="F51">
        <f t="shared" si="118"/>
        <v>150</v>
      </c>
      <c r="G51" s="8">
        <f t="shared" si="118"/>
        <v>200</v>
      </c>
      <c r="H51">
        <f t="shared" si="118"/>
        <v>250</v>
      </c>
      <c r="I51">
        <f t="shared" si="118"/>
        <v>300</v>
      </c>
      <c r="J51">
        <f t="shared" si="118"/>
        <v>400</v>
      </c>
      <c r="K51">
        <f t="shared" ref="K51:Q51" si="119">K35+K43</f>
        <v>500</v>
      </c>
      <c r="L51">
        <f t="shared" si="119"/>
        <v>1000</v>
      </c>
      <c r="M51">
        <f t="shared" si="119"/>
        <v>2500</v>
      </c>
      <c r="N51">
        <f t="shared" si="119"/>
        <v>5000</v>
      </c>
      <c r="O51">
        <f t="shared" si="119"/>
        <v>7500</v>
      </c>
      <c r="P51">
        <f t="shared" si="119"/>
        <v>10000</v>
      </c>
      <c r="Q51">
        <f t="shared" si="119"/>
        <v>20000</v>
      </c>
      <c r="R51">
        <f t="shared" si="118"/>
        <v>30000</v>
      </c>
      <c r="S51">
        <f t="shared" ref="S51" si="120">S35+S43</f>
        <v>40000</v>
      </c>
      <c r="T51">
        <f t="shared" si="118"/>
        <v>50000</v>
      </c>
      <c r="U51" t="s">
        <v>38</v>
      </c>
    </row>
    <row r="52" spans="1:21" x14ac:dyDescent="0.2">
      <c r="B52" s="2" t="s">
        <v>41</v>
      </c>
      <c r="C52">
        <f t="shared" ref="C52:J52" si="121">C37+C45</f>
        <v>1</v>
      </c>
      <c r="D52">
        <f t="shared" si="121"/>
        <v>500</v>
      </c>
      <c r="E52">
        <f t="shared" si="121"/>
        <v>1000</v>
      </c>
      <c r="F52">
        <f t="shared" si="121"/>
        <v>1500</v>
      </c>
      <c r="G52" s="8">
        <f t="shared" si="121"/>
        <v>2000</v>
      </c>
      <c r="H52">
        <f t="shared" si="121"/>
        <v>2500</v>
      </c>
      <c r="I52">
        <f t="shared" si="121"/>
        <v>3000</v>
      </c>
      <c r="J52">
        <f t="shared" si="121"/>
        <v>4000</v>
      </c>
      <c r="K52">
        <f t="shared" ref="K52:Q52" si="122">K37+K45</f>
        <v>5000</v>
      </c>
      <c r="L52">
        <f t="shared" si="122"/>
        <v>10000</v>
      </c>
      <c r="M52">
        <f t="shared" si="122"/>
        <v>25000.000000000004</v>
      </c>
      <c r="N52">
        <f t="shared" si="122"/>
        <v>50000</v>
      </c>
      <c r="O52">
        <f t="shared" si="122"/>
        <v>75000</v>
      </c>
      <c r="P52">
        <f t="shared" si="122"/>
        <v>100000</v>
      </c>
      <c r="Q52">
        <f t="shared" si="122"/>
        <v>199999.99999999997</v>
      </c>
      <c r="R52">
        <f>R37+R45</f>
        <v>299999.99999999994</v>
      </c>
      <c r="S52">
        <f>S37+S45</f>
        <v>400000.00000000006</v>
      </c>
      <c r="T52">
        <f>T37+T45</f>
        <v>499999.99999999994</v>
      </c>
      <c r="U52" t="s">
        <v>38</v>
      </c>
    </row>
    <row r="53" spans="1:21" x14ac:dyDescent="0.2">
      <c r="B53" s="14" t="s">
        <v>42</v>
      </c>
      <c r="C53">
        <f t="shared" ref="C53:J53" si="123">C39+C47</f>
        <v>1</v>
      </c>
      <c r="D53">
        <f t="shared" si="123"/>
        <v>1</v>
      </c>
      <c r="E53">
        <f t="shared" si="123"/>
        <v>1</v>
      </c>
      <c r="F53">
        <f t="shared" si="123"/>
        <v>1</v>
      </c>
      <c r="G53" s="8">
        <f t="shared" si="123"/>
        <v>1</v>
      </c>
      <c r="H53">
        <f t="shared" si="123"/>
        <v>1</v>
      </c>
      <c r="I53">
        <f t="shared" si="123"/>
        <v>1</v>
      </c>
      <c r="J53">
        <f t="shared" si="123"/>
        <v>1</v>
      </c>
      <c r="K53">
        <f t="shared" ref="K53:Q53" si="124">K39+K47</f>
        <v>1</v>
      </c>
      <c r="L53">
        <f t="shared" si="124"/>
        <v>1</v>
      </c>
      <c r="M53">
        <f t="shared" si="124"/>
        <v>1</v>
      </c>
      <c r="N53">
        <f t="shared" si="124"/>
        <v>1</v>
      </c>
      <c r="O53">
        <f t="shared" si="124"/>
        <v>1</v>
      </c>
      <c r="P53">
        <f t="shared" si="124"/>
        <v>1</v>
      </c>
      <c r="Q53">
        <f t="shared" si="124"/>
        <v>1</v>
      </c>
      <c r="R53">
        <f>R39+R47</f>
        <v>1</v>
      </c>
      <c r="S53">
        <f>S39+S47</f>
        <v>0.99999999999999989</v>
      </c>
      <c r="T53">
        <f>T39+T47</f>
        <v>1</v>
      </c>
      <c r="U53" t="s">
        <v>37</v>
      </c>
    </row>
    <row r="54" spans="1:21" x14ac:dyDescent="0.2">
      <c r="B54" s="15" t="s">
        <v>43</v>
      </c>
      <c r="C54" s="1">
        <f t="shared" ref="C54:J54" si="125">C41+C49</f>
        <v>10</v>
      </c>
      <c r="D54" s="1">
        <f t="shared" si="125"/>
        <v>10</v>
      </c>
      <c r="E54" s="1">
        <f t="shared" si="125"/>
        <v>10</v>
      </c>
      <c r="F54" s="1">
        <f t="shared" si="125"/>
        <v>10</v>
      </c>
      <c r="G54" s="13">
        <f t="shared" si="125"/>
        <v>10</v>
      </c>
      <c r="H54" s="1">
        <f t="shared" si="125"/>
        <v>10</v>
      </c>
      <c r="I54" s="1">
        <f t="shared" si="125"/>
        <v>10</v>
      </c>
      <c r="J54" s="1">
        <f t="shared" si="125"/>
        <v>10</v>
      </c>
      <c r="K54" s="1">
        <f t="shared" ref="K54:Q54" si="126">K41+K49</f>
        <v>10</v>
      </c>
      <c r="L54" s="1">
        <f t="shared" si="126"/>
        <v>10</v>
      </c>
      <c r="M54" s="1">
        <f t="shared" si="126"/>
        <v>10</v>
      </c>
      <c r="N54" s="1">
        <f t="shared" si="126"/>
        <v>10</v>
      </c>
      <c r="O54" s="1">
        <f t="shared" si="126"/>
        <v>10.000000000000002</v>
      </c>
      <c r="P54" s="1">
        <f t="shared" si="126"/>
        <v>10</v>
      </c>
      <c r="Q54" s="1">
        <f t="shared" si="126"/>
        <v>10.000000000000002</v>
      </c>
      <c r="R54" s="1">
        <f>R41+R49</f>
        <v>10</v>
      </c>
      <c r="S54" s="1">
        <f>S41+S49</f>
        <v>9.9999999999999982</v>
      </c>
      <c r="T54" s="1">
        <f>T41+T49</f>
        <v>10.000000000000002</v>
      </c>
      <c r="U54" t="s">
        <v>37</v>
      </c>
    </row>
    <row r="55" spans="1:21" x14ac:dyDescent="0.2">
      <c r="B55" s="7" t="s">
        <v>44</v>
      </c>
      <c r="C55">
        <f t="shared" ref="C55:R55" si="127">C51-C33</f>
        <v>0</v>
      </c>
      <c r="D55">
        <f t="shared" si="127"/>
        <v>0</v>
      </c>
      <c r="E55">
        <f t="shared" si="127"/>
        <v>0</v>
      </c>
      <c r="F55">
        <f t="shared" si="127"/>
        <v>0</v>
      </c>
      <c r="G55">
        <f t="shared" si="127"/>
        <v>0</v>
      </c>
      <c r="H55">
        <f t="shared" si="127"/>
        <v>0</v>
      </c>
      <c r="I55">
        <f t="shared" si="127"/>
        <v>0</v>
      </c>
      <c r="J55">
        <f t="shared" si="127"/>
        <v>0</v>
      </c>
      <c r="K55">
        <f t="shared" ref="K55:Q55" si="128">K51-K33</f>
        <v>0</v>
      </c>
      <c r="L55">
        <f t="shared" si="128"/>
        <v>0</v>
      </c>
      <c r="M55">
        <f t="shared" si="128"/>
        <v>0</v>
      </c>
      <c r="N55">
        <f t="shared" si="128"/>
        <v>0</v>
      </c>
      <c r="O55">
        <f t="shared" si="128"/>
        <v>0</v>
      </c>
      <c r="P55">
        <f t="shared" si="128"/>
        <v>0</v>
      </c>
      <c r="Q55">
        <f t="shared" si="128"/>
        <v>0</v>
      </c>
      <c r="R55">
        <f t="shared" si="127"/>
        <v>0</v>
      </c>
      <c r="S55">
        <f t="shared" ref="S55" si="129">S51-S33</f>
        <v>0</v>
      </c>
      <c r="T55">
        <f>T51-T33</f>
        <v>0</v>
      </c>
    </row>
    <row r="57" spans="1:21" x14ac:dyDescent="0.2">
      <c r="B57" s="3" t="s">
        <v>45</v>
      </c>
      <c r="C57" s="1">
        <f>C33</f>
        <v>0.1</v>
      </c>
      <c r="D57" s="1">
        <f t="shared" ref="D57:T57" si="130">D33</f>
        <v>50</v>
      </c>
      <c r="E57" s="1">
        <f t="shared" si="130"/>
        <v>100</v>
      </c>
      <c r="F57" s="1">
        <f t="shared" si="130"/>
        <v>150</v>
      </c>
      <c r="G57" s="13">
        <f t="shared" si="130"/>
        <v>200</v>
      </c>
      <c r="H57" s="1">
        <f t="shared" si="130"/>
        <v>250</v>
      </c>
      <c r="I57" s="1">
        <f t="shared" si="130"/>
        <v>300</v>
      </c>
      <c r="J57" s="1">
        <f t="shared" si="130"/>
        <v>400</v>
      </c>
      <c r="K57" s="1">
        <f t="shared" ref="K57:Q57" si="131">K33</f>
        <v>500</v>
      </c>
      <c r="L57" s="1">
        <f t="shared" si="131"/>
        <v>1000</v>
      </c>
      <c r="M57" s="1">
        <f t="shared" si="131"/>
        <v>2500</v>
      </c>
      <c r="N57" s="1">
        <f t="shared" si="131"/>
        <v>5000</v>
      </c>
      <c r="O57" s="1">
        <f t="shared" si="131"/>
        <v>7500</v>
      </c>
      <c r="P57" s="1">
        <f t="shared" si="131"/>
        <v>10000</v>
      </c>
      <c r="Q57" s="1">
        <f t="shared" si="131"/>
        <v>20000</v>
      </c>
      <c r="R57" s="1">
        <f t="shared" si="130"/>
        <v>30000</v>
      </c>
      <c r="S57" s="1">
        <f t="shared" ref="S57" si="132">S33</f>
        <v>40000</v>
      </c>
      <c r="T57" s="1">
        <f t="shared" si="130"/>
        <v>50000</v>
      </c>
    </row>
    <row r="58" spans="1:21" x14ac:dyDescent="0.2">
      <c r="B58" s="2" t="s">
        <v>57</v>
      </c>
      <c r="C58">
        <f>C39</f>
        <v>0</v>
      </c>
      <c r="D58">
        <f t="shared" ref="D58:T58" si="133">D39</f>
        <v>0</v>
      </c>
      <c r="E58">
        <f t="shared" si="133"/>
        <v>0</v>
      </c>
      <c r="F58">
        <f t="shared" si="133"/>
        <v>0</v>
      </c>
      <c r="G58" s="8">
        <f t="shared" si="133"/>
        <v>0</v>
      </c>
      <c r="H58">
        <f t="shared" si="133"/>
        <v>0.2</v>
      </c>
      <c r="I58">
        <f t="shared" si="133"/>
        <v>0.33333333333333331</v>
      </c>
      <c r="J58">
        <f t="shared" si="133"/>
        <v>0.5</v>
      </c>
      <c r="K58">
        <f t="shared" ref="K58:Q58" si="134">K39</f>
        <v>0.6</v>
      </c>
      <c r="L58">
        <f t="shared" si="134"/>
        <v>0.8</v>
      </c>
      <c r="M58">
        <f t="shared" si="134"/>
        <v>0.92</v>
      </c>
      <c r="N58">
        <f t="shared" si="134"/>
        <v>0.96</v>
      </c>
      <c r="O58">
        <f t="shared" si="134"/>
        <v>0.97333333333333338</v>
      </c>
      <c r="P58">
        <f t="shared" si="134"/>
        <v>0.98</v>
      </c>
      <c r="Q58">
        <f t="shared" si="134"/>
        <v>0.9900000000000001</v>
      </c>
      <c r="R58">
        <f t="shared" si="133"/>
        <v>0.99333333333333329</v>
      </c>
      <c r="S58">
        <f t="shared" ref="S58" si="135">S39</f>
        <v>0.995</v>
      </c>
      <c r="T58">
        <f t="shared" si="133"/>
        <v>0.99600000000000011</v>
      </c>
    </row>
    <row r="59" spans="1:21" x14ac:dyDescent="0.2">
      <c r="B59" s="2" t="s">
        <v>34</v>
      </c>
      <c r="C59">
        <f>C47</f>
        <v>1</v>
      </c>
      <c r="D59">
        <f t="shared" ref="D59:T59" si="136">D47</f>
        <v>1</v>
      </c>
      <c r="E59">
        <f t="shared" si="136"/>
        <v>1</v>
      </c>
      <c r="F59">
        <f t="shared" si="136"/>
        <v>1</v>
      </c>
      <c r="G59" s="8">
        <f t="shared" si="136"/>
        <v>1</v>
      </c>
      <c r="H59">
        <f t="shared" si="136"/>
        <v>0.8</v>
      </c>
      <c r="I59">
        <f t="shared" si="136"/>
        <v>0.66666666666666663</v>
      </c>
      <c r="J59">
        <f t="shared" si="136"/>
        <v>0.5</v>
      </c>
      <c r="K59">
        <f t="shared" ref="K59:Q59" si="137">K47</f>
        <v>0.4</v>
      </c>
      <c r="L59">
        <f t="shared" si="137"/>
        <v>0.2</v>
      </c>
      <c r="M59">
        <f t="shared" si="137"/>
        <v>0.08</v>
      </c>
      <c r="N59">
        <f t="shared" si="137"/>
        <v>0.04</v>
      </c>
      <c r="O59">
        <f t="shared" si="137"/>
        <v>2.6666666666666668E-2</v>
      </c>
      <c r="P59">
        <f t="shared" si="137"/>
        <v>0.02</v>
      </c>
      <c r="Q59">
        <f t="shared" si="137"/>
        <v>9.9999999999998961E-3</v>
      </c>
      <c r="R59">
        <f t="shared" si="136"/>
        <v>6.6666666666667374E-3</v>
      </c>
      <c r="S59">
        <f t="shared" ref="S59" si="138">S47</f>
        <v>4.9999999999999481E-3</v>
      </c>
      <c r="T59">
        <f t="shared" si="136"/>
        <v>3.9999999999999584E-3</v>
      </c>
    </row>
    <row r="60" spans="1:21" x14ac:dyDescent="0.2">
      <c r="B60" s="2" t="s">
        <v>43</v>
      </c>
      <c r="C60">
        <f>C58+C59</f>
        <v>1</v>
      </c>
      <c r="D60">
        <f t="shared" ref="D60:T60" si="139">D58+D59</f>
        <v>1</v>
      </c>
      <c r="E60">
        <f t="shared" si="139"/>
        <v>1</v>
      </c>
      <c r="F60">
        <f t="shared" si="139"/>
        <v>1</v>
      </c>
      <c r="G60" s="8">
        <f t="shared" si="139"/>
        <v>1</v>
      </c>
      <c r="H60">
        <f t="shared" si="139"/>
        <v>1</v>
      </c>
      <c r="I60">
        <f t="shared" si="139"/>
        <v>1</v>
      </c>
      <c r="J60">
        <f t="shared" si="139"/>
        <v>1</v>
      </c>
      <c r="K60">
        <f t="shared" ref="K60" si="140">K58+K59</f>
        <v>1</v>
      </c>
      <c r="L60">
        <f t="shared" ref="L60" si="141">L58+L59</f>
        <v>1</v>
      </c>
      <c r="M60">
        <f t="shared" ref="M60" si="142">M58+M59</f>
        <v>1</v>
      </c>
      <c r="N60">
        <f t="shared" ref="N60" si="143">N58+N59</f>
        <v>1</v>
      </c>
      <c r="O60">
        <f t="shared" ref="O60" si="144">O58+O59</f>
        <v>1</v>
      </c>
      <c r="P60">
        <f t="shared" ref="P60" si="145">P58+P59</f>
        <v>1</v>
      </c>
      <c r="Q60">
        <f t="shared" ref="Q60" si="146">Q58+Q59</f>
        <v>1</v>
      </c>
      <c r="R60">
        <f t="shared" si="139"/>
        <v>1</v>
      </c>
      <c r="S60">
        <f t="shared" si="139"/>
        <v>0.99999999999999989</v>
      </c>
      <c r="T60">
        <f t="shared" si="139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FBE9-7516-DC43-B241-ACC54C297F78}">
  <sheetPr codeName="Sheet3"/>
  <dimension ref="A1:U60"/>
  <sheetViews>
    <sheetView showGridLines="0" topLeftCell="A30" workbookViewId="0">
      <selection activeCell="B38" sqref="B38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47</v>
      </c>
      <c r="D29">
        <f>D27*D28</f>
        <v>2000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f>RATEDECIMALS</f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si="2"/>
        <v>5E+20</v>
      </c>
      <c r="L34" s="6">
        <f t="shared" si="2"/>
        <v>1E+21</v>
      </c>
      <c r="M34" s="6">
        <f t="shared" si="2"/>
        <v>2.5E+21</v>
      </c>
      <c r="N34" s="6">
        <f t="shared" si="2"/>
        <v>5E+21</v>
      </c>
      <c r="O34" s="6">
        <f t="shared" si="2"/>
        <v>7.5E+21</v>
      </c>
      <c r="P34" s="6">
        <f t="shared" si="2"/>
        <v>1E+22</v>
      </c>
      <c r="Q34" s="6">
        <f t="shared" si="2"/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14" t="s">
        <v>25</v>
      </c>
      <c r="C35" s="18">
        <f t="shared" ref="C35:J35" si="3">C36/10^18</f>
        <v>199.9</v>
      </c>
      <c r="D35" s="18">
        <f t="shared" si="3"/>
        <v>150</v>
      </c>
      <c r="E35" s="18">
        <f t="shared" si="3"/>
        <v>100</v>
      </c>
      <c r="F35" s="18">
        <f t="shared" si="3"/>
        <v>50</v>
      </c>
      <c r="G35" s="19">
        <f t="shared" si="3"/>
        <v>0</v>
      </c>
      <c r="H35" s="18">
        <f t="shared" si="3"/>
        <v>0</v>
      </c>
      <c r="I35" s="18">
        <f t="shared" si="3"/>
        <v>0</v>
      </c>
      <c r="J35" s="18">
        <f t="shared" si="3"/>
        <v>0</v>
      </c>
      <c r="K35" s="18">
        <f t="shared" ref="K35:Q35" si="4">K36/10^18</f>
        <v>0</v>
      </c>
      <c r="L35" s="18">
        <f t="shared" si="4"/>
        <v>0</v>
      </c>
      <c r="M35" s="18">
        <f t="shared" si="4"/>
        <v>0</v>
      </c>
      <c r="N35" s="18">
        <f t="shared" si="4"/>
        <v>0</v>
      </c>
      <c r="O35" s="18">
        <f t="shared" si="4"/>
        <v>0</v>
      </c>
      <c r="P35" s="18">
        <f t="shared" si="4"/>
        <v>0</v>
      </c>
      <c r="Q35" s="18">
        <f t="shared" si="4"/>
        <v>0</v>
      </c>
      <c r="R35" s="18">
        <f>R36/10^18</f>
        <v>0</v>
      </c>
      <c r="S35" s="18">
        <f>S36/10^18</f>
        <v>0</v>
      </c>
      <c r="T35" s="18">
        <f>T36/10^18</f>
        <v>0</v>
      </c>
      <c r="U35" s="18" t="s">
        <v>38</v>
      </c>
    </row>
    <row r="36" spans="1:21" x14ac:dyDescent="0.2">
      <c r="B36" s="7" t="s">
        <v>46</v>
      </c>
      <c r="C36" s="4">
        <f t="shared" ref="C36:T36" si="5">MAX(0,STRIKE-C34)</f>
        <v>1.999E+20</v>
      </c>
      <c r="D36" s="4">
        <f t="shared" si="5"/>
        <v>1.5E+20</v>
      </c>
      <c r="E36" s="4">
        <f t="shared" si="5"/>
        <v>1E+20</v>
      </c>
      <c r="F36" s="4">
        <f t="shared" si="5"/>
        <v>5E+19</v>
      </c>
      <c r="G36" s="10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si="5"/>
        <v>0</v>
      </c>
      <c r="M36" s="4">
        <f t="shared" si="5"/>
        <v>0</v>
      </c>
      <c r="N36" s="4">
        <f t="shared" si="5"/>
        <v>0</v>
      </c>
      <c r="O36" s="4">
        <f t="shared" si="5"/>
        <v>0</v>
      </c>
      <c r="P36" s="4">
        <f t="shared" si="5"/>
        <v>0</v>
      </c>
      <c r="Q36" s="4">
        <f t="shared" si="5"/>
        <v>0</v>
      </c>
      <c r="R36" s="4">
        <f t="shared" si="5"/>
        <v>0</v>
      </c>
      <c r="S36" s="4">
        <f t="shared" si="5"/>
        <v>0</v>
      </c>
      <c r="T36" s="4">
        <f t="shared" si="5"/>
        <v>0</v>
      </c>
    </row>
    <row r="37" spans="1:21" x14ac:dyDescent="0.2">
      <c r="B37" s="14" t="s">
        <v>26</v>
      </c>
      <c r="C37" s="18">
        <f>C38/10^18</f>
        <v>1999</v>
      </c>
      <c r="D37" s="18">
        <f t="shared" ref="D37:T37" si="6">D38/10^18</f>
        <v>1500</v>
      </c>
      <c r="E37" s="18">
        <f t="shared" si="6"/>
        <v>1000</v>
      </c>
      <c r="F37" s="18">
        <f t="shared" si="6"/>
        <v>500</v>
      </c>
      <c r="G37" s="19">
        <f t="shared" si="6"/>
        <v>0</v>
      </c>
      <c r="H37" s="18">
        <f t="shared" si="6"/>
        <v>0</v>
      </c>
      <c r="I37" s="18">
        <f t="shared" si="6"/>
        <v>0</v>
      </c>
      <c r="J37" s="18">
        <f t="shared" si="6"/>
        <v>0</v>
      </c>
      <c r="K37" s="18">
        <f t="shared" si="6"/>
        <v>0</v>
      </c>
      <c r="L37" s="18">
        <f t="shared" si="6"/>
        <v>0</v>
      </c>
      <c r="M37" s="18">
        <f t="shared" si="6"/>
        <v>0</v>
      </c>
      <c r="N37" s="18">
        <f t="shared" si="6"/>
        <v>0</v>
      </c>
      <c r="O37" s="18">
        <f t="shared" si="6"/>
        <v>0</v>
      </c>
      <c r="P37" s="18">
        <f t="shared" si="6"/>
        <v>0</v>
      </c>
      <c r="Q37" s="18">
        <f t="shared" si="6"/>
        <v>0</v>
      </c>
      <c r="R37" s="18">
        <f t="shared" si="6"/>
        <v>0</v>
      </c>
      <c r="S37" s="18">
        <f t="shared" si="6"/>
        <v>0</v>
      </c>
      <c r="T37" s="18">
        <f t="shared" si="6"/>
        <v>0</v>
      </c>
      <c r="U37" s="18" t="s">
        <v>38</v>
      </c>
    </row>
    <row r="38" spans="1:21" x14ac:dyDescent="0.2">
      <c r="B38" s="7" t="s">
        <v>63</v>
      </c>
      <c r="C38" s="5">
        <f t="shared" ref="C38:T38" si="7">C36*(BASETOKENS/10^BASEDECIMALS)</f>
        <v>1.999E+21</v>
      </c>
      <c r="D38" s="5">
        <f t="shared" si="7"/>
        <v>1.5E+21</v>
      </c>
      <c r="E38" s="5">
        <f t="shared" si="7"/>
        <v>1E+21</v>
      </c>
      <c r="F38" s="5">
        <f t="shared" si="7"/>
        <v>5E+20</v>
      </c>
      <c r="G38" s="11">
        <f t="shared" si="7"/>
        <v>0</v>
      </c>
      <c r="H38" s="5">
        <f t="shared" si="7"/>
        <v>0</v>
      </c>
      <c r="I38" s="5">
        <f t="shared" si="7"/>
        <v>0</v>
      </c>
      <c r="J38" s="5">
        <f t="shared" si="7"/>
        <v>0</v>
      </c>
      <c r="K38" s="5">
        <f t="shared" si="7"/>
        <v>0</v>
      </c>
      <c r="L38" s="5">
        <f t="shared" si="7"/>
        <v>0</v>
      </c>
      <c r="M38" s="5">
        <f t="shared" si="7"/>
        <v>0</v>
      </c>
      <c r="N38" s="5">
        <f t="shared" si="7"/>
        <v>0</v>
      </c>
      <c r="O38" s="5">
        <f t="shared" si="7"/>
        <v>0</v>
      </c>
      <c r="P38" s="5">
        <f t="shared" si="7"/>
        <v>0</v>
      </c>
      <c r="Q38" s="5">
        <f t="shared" si="7"/>
        <v>0</v>
      </c>
      <c r="R38" s="5">
        <f t="shared" si="7"/>
        <v>0</v>
      </c>
      <c r="S38" s="5">
        <f t="shared" si="7"/>
        <v>0</v>
      </c>
      <c r="T38" s="5">
        <f t="shared" si="7"/>
        <v>0</v>
      </c>
    </row>
    <row r="39" spans="1:21" x14ac:dyDescent="0.2">
      <c r="B39" s="16" t="s">
        <v>27</v>
      </c>
      <c r="C39">
        <f>C40/10^18</f>
        <v>1999</v>
      </c>
      <c r="D39">
        <f t="shared" ref="D39:T39" si="8">D40/10^18</f>
        <v>3</v>
      </c>
      <c r="E39">
        <f t="shared" si="8"/>
        <v>1</v>
      </c>
      <c r="F39">
        <f t="shared" si="8"/>
        <v>0.33333333333333331</v>
      </c>
      <c r="G39" s="8">
        <f t="shared" si="8"/>
        <v>0</v>
      </c>
      <c r="H39">
        <f t="shared" si="8"/>
        <v>0</v>
      </c>
      <c r="I39">
        <f t="shared" si="8"/>
        <v>0</v>
      </c>
      <c r="J39">
        <f t="shared" si="8"/>
        <v>0</v>
      </c>
      <c r="K39">
        <f t="shared" si="8"/>
        <v>0</v>
      </c>
      <c r="L39">
        <f t="shared" si="8"/>
        <v>0</v>
      </c>
      <c r="M39">
        <f t="shared" si="8"/>
        <v>0</v>
      </c>
      <c r="N39">
        <f t="shared" si="8"/>
        <v>0</v>
      </c>
      <c r="O39">
        <f t="shared" si="8"/>
        <v>0</v>
      </c>
      <c r="P39">
        <f t="shared" si="8"/>
        <v>0</v>
      </c>
      <c r="Q39">
        <f t="shared" si="8"/>
        <v>0</v>
      </c>
      <c r="R39">
        <f t="shared" si="8"/>
        <v>0</v>
      </c>
      <c r="S39">
        <f t="shared" si="8"/>
        <v>0</v>
      </c>
      <c r="T39">
        <f t="shared" si="8"/>
        <v>0</v>
      </c>
      <c r="U39" t="s">
        <v>37</v>
      </c>
    </row>
    <row r="40" spans="1:21" x14ac:dyDescent="0.2">
      <c r="B40" s="7" t="s">
        <v>52</v>
      </c>
      <c r="C40" s="5">
        <f t="shared" ref="C40:T40" si="9">C36/(C$34/10^RATEDECIMALS)</f>
        <v>1.999E+21</v>
      </c>
      <c r="D40" s="5">
        <f t="shared" si="9"/>
        <v>3E+18</v>
      </c>
      <c r="E40" s="5">
        <f t="shared" si="9"/>
        <v>1E+18</v>
      </c>
      <c r="F40" s="5">
        <f t="shared" si="9"/>
        <v>3.3333333333333331E+17</v>
      </c>
      <c r="G40" s="11">
        <f t="shared" si="9"/>
        <v>0</v>
      </c>
      <c r="H40" s="5">
        <f t="shared" si="9"/>
        <v>0</v>
      </c>
      <c r="I40" s="5">
        <f t="shared" si="9"/>
        <v>0</v>
      </c>
      <c r="J40" s="5">
        <f t="shared" si="9"/>
        <v>0</v>
      </c>
      <c r="K40" s="5">
        <f t="shared" si="9"/>
        <v>0</v>
      </c>
      <c r="L40" s="5">
        <f t="shared" si="9"/>
        <v>0</v>
      </c>
      <c r="M40" s="5">
        <f t="shared" si="9"/>
        <v>0</v>
      </c>
      <c r="N40" s="5">
        <f t="shared" si="9"/>
        <v>0</v>
      </c>
      <c r="O40" s="5">
        <f t="shared" si="9"/>
        <v>0</v>
      </c>
      <c r="P40" s="5">
        <f t="shared" si="9"/>
        <v>0</v>
      </c>
      <c r="Q40" s="5">
        <f t="shared" si="9"/>
        <v>0</v>
      </c>
      <c r="R40" s="5">
        <f t="shared" si="9"/>
        <v>0</v>
      </c>
      <c r="S40" s="5">
        <f t="shared" si="9"/>
        <v>0</v>
      </c>
      <c r="T40" s="5">
        <f t="shared" si="9"/>
        <v>0</v>
      </c>
    </row>
    <row r="41" spans="1:21" x14ac:dyDescent="0.2">
      <c r="B41" s="16" t="s">
        <v>28</v>
      </c>
      <c r="C41">
        <f>C42/10^18</f>
        <v>19990</v>
      </c>
      <c r="D41">
        <f t="shared" ref="D41:T41" si="10">D42/10^18</f>
        <v>30</v>
      </c>
      <c r="E41">
        <f t="shared" si="10"/>
        <v>10</v>
      </c>
      <c r="F41">
        <f t="shared" si="10"/>
        <v>3.333333333333333</v>
      </c>
      <c r="G41" s="8">
        <f t="shared" si="10"/>
        <v>0</v>
      </c>
      <c r="H41">
        <f t="shared" si="10"/>
        <v>0</v>
      </c>
      <c r="I41">
        <f t="shared" si="10"/>
        <v>0</v>
      </c>
      <c r="J41">
        <f t="shared" si="10"/>
        <v>0</v>
      </c>
      <c r="K41">
        <f t="shared" si="10"/>
        <v>0</v>
      </c>
      <c r="L41">
        <f t="shared" si="10"/>
        <v>0</v>
      </c>
      <c r="M41">
        <f t="shared" si="10"/>
        <v>0</v>
      </c>
      <c r="N41">
        <f t="shared" si="10"/>
        <v>0</v>
      </c>
      <c r="O41">
        <f t="shared" si="10"/>
        <v>0</v>
      </c>
      <c r="P41">
        <f t="shared" si="10"/>
        <v>0</v>
      </c>
      <c r="Q41">
        <f t="shared" si="10"/>
        <v>0</v>
      </c>
      <c r="R41">
        <f t="shared" si="10"/>
        <v>0</v>
      </c>
      <c r="S41">
        <f t="shared" si="10"/>
        <v>0</v>
      </c>
      <c r="T41">
        <f t="shared" si="10"/>
        <v>0</v>
      </c>
      <c r="U41" t="s">
        <v>37</v>
      </c>
    </row>
    <row r="42" spans="1:21" x14ac:dyDescent="0.2">
      <c r="B42" s="12" t="s">
        <v>64</v>
      </c>
      <c r="C42" s="6">
        <f t="shared" ref="C42:T42" si="11">C40*(BASETOKENS/10^BASEDECIMALS)</f>
        <v>1.9989999999999998E+22</v>
      </c>
      <c r="D42" s="6">
        <f t="shared" si="11"/>
        <v>3E+19</v>
      </c>
      <c r="E42" s="6">
        <f t="shared" si="11"/>
        <v>1E+19</v>
      </c>
      <c r="F42" s="6">
        <f t="shared" si="11"/>
        <v>3.333333333333333E+18</v>
      </c>
      <c r="G42" s="9">
        <f t="shared" si="11"/>
        <v>0</v>
      </c>
      <c r="H42" s="6">
        <f t="shared" si="11"/>
        <v>0</v>
      </c>
      <c r="I42" s="6">
        <f t="shared" si="11"/>
        <v>0</v>
      </c>
      <c r="J42" s="6">
        <f t="shared" si="11"/>
        <v>0</v>
      </c>
      <c r="K42" s="6">
        <f t="shared" si="11"/>
        <v>0</v>
      </c>
      <c r="L42" s="6">
        <f t="shared" si="11"/>
        <v>0</v>
      </c>
      <c r="M42" s="6">
        <f t="shared" si="11"/>
        <v>0</v>
      </c>
      <c r="N42" s="6">
        <f t="shared" si="11"/>
        <v>0</v>
      </c>
      <c r="O42" s="6">
        <f t="shared" si="11"/>
        <v>0</v>
      </c>
      <c r="P42" s="6">
        <f t="shared" si="11"/>
        <v>0</v>
      </c>
      <c r="Q42" s="6">
        <f t="shared" si="11"/>
        <v>0</v>
      </c>
      <c r="R42" s="6">
        <f t="shared" si="11"/>
        <v>0</v>
      </c>
      <c r="S42" s="6">
        <f t="shared" si="11"/>
        <v>0</v>
      </c>
      <c r="T42" s="6">
        <f t="shared" si="11"/>
        <v>0</v>
      </c>
    </row>
    <row r="43" spans="1:21" x14ac:dyDescent="0.2">
      <c r="A43" t="s">
        <v>35</v>
      </c>
      <c r="B43" s="14" t="s">
        <v>29</v>
      </c>
      <c r="C43" s="18">
        <f>C44/10^18</f>
        <v>0.1</v>
      </c>
      <c r="D43" s="18">
        <f t="shared" ref="D43:T43" si="12">D44/10^18</f>
        <v>50</v>
      </c>
      <c r="E43" s="18">
        <f t="shared" si="12"/>
        <v>100</v>
      </c>
      <c r="F43" s="18">
        <f t="shared" si="12"/>
        <v>150</v>
      </c>
      <c r="G43" s="19">
        <f t="shared" si="12"/>
        <v>200</v>
      </c>
      <c r="H43" s="18">
        <f t="shared" si="12"/>
        <v>200</v>
      </c>
      <c r="I43" s="18">
        <f t="shared" si="12"/>
        <v>200</v>
      </c>
      <c r="J43" s="18">
        <f t="shared" si="12"/>
        <v>200</v>
      </c>
      <c r="K43" s="18">
        <f t="shared" si="12"/>
        <v>200</v>
      </c>
      <c r="L43" s="18">
        <f t="shared" si="12"/>
        <v>200</v>
      </c>
      <c r="M43" s="18">
        <f t="shared" si="12"/>
        <v>200</v>
      </c>
      <c r="N43" s="18">
        <f t="shared" si="12"/>
        <v>200</v>
      </c>
      <c r="O43" s="18">
        <f t="shared" si="12"/>
        <v>200</v>
      </c>
      <c r="P43" s="18">
        <f t="shared" si="12"/>
        <v>200</v>
      </c>
      <c r="Q43" s="18">
        <f t="shared" si="12"/>
        <v>200</v>
      </c>
      <c r="R43" s="18">
        <f t="shared" si="12"/>
        <v>200</v>
      </c>
      <c r="S43" s="18">
        <f t="shared" si="12"/>
        <v>200</v>
      </c>
      <c r="T43" s="18">
        <f t="shared" si="12"/>
        <v>200</v>
      </c>
      <c r="U43" s="18" t="s">
        <v>38</v>
      </c>
    </row>
    <row r="44" spans="1:21" x14ac:dyDescent="0.2">
      <c r="B44" s="7" t="s">
        <v>55</v>
      </c>
      <c r="C44" s="4">
        <f t="shared" ref="C44:T44" si="13">STRIKE-C36</f>
        <v>1E+17</v>
      </c>
      <c r="D44" s="4">
        <f t="shared" si="13"/>
        <v>5E+19</v>
      </c>
      <c r="E44" s="4">
        <f t="shared" si="13"/>
        <v>1E+20</v>
      </c>
      <c r="F44" s="4">
        <f t="shared" si="13"/>
        <v>1.5E+20</v>
      </c>
      <c r="G44" s="10">
        <f t="shared" si="13"/>
        <v>2E+20</v>
      </c>
      <c r="H44" s="4">
        <f t="shared" si="13"/>
        <v>2E+20</v>
      </c>
      <c r="I44" s="4">
        <f t="shared" si="13"/>
        <v>2E+20</v>
      </c>
      <c r="J44" s="4">
        <f t="shared" si="13"/>
        <v>2E+20</v>
      </c>
      <c r="K44" s="4">
        <f t="shared" si="13"/>
        <v>2E+20</v>
      </c>
      <c r="L44" s="4">
        <f t="shared" si="13"/>
        <v>2E+20</v>
      </c>
      <c r="M44" s="4">
        <f t="shared" si="13"/>
        <v>2E+20</v>
      </c>
      <c r="N44" s="4">
        <f t="shared" si="13"/>
        <v>2E+20</v>
      </c>
      <c r="O44" s="4">
        <f t="shared" si="13"/>
        <v>2E+20</v>
      </c>
      <c r="P44" s="4">
        <f t="shared" si="13"/>
        <v>2E+20</v>
      </c>
      <c r="Q44" s="4">
        <f t="shared" si="13"/>
        <v>2E+20</v>
      </c>
      <c r="R44" s="4">
        <f t="shared" si="13"/>
        <v>2E+20</v>
      </c>
      <c r="S44" s="4">
        <f t="shared" si="13"/>
        <v>2E+20</v>
      </c>
      <c r="T44" s="4">
        <f t="shared" si="13"/>
        <v>2E+20</v>
      </c>
    </row>
    <row r="45" spans="1:21" x14ac:dyDescent="0.2">
      <c r="B45" s="14" t="s">
        <v>31</v>
      </c>
      <c r="C45" s="18">
        <f>C46/10^18</f>
        <v>1</v>
      </c>
      <c r="D45" s="18">
        <f t="shared" ref="D45:T45" si="14">D46/10^18</f>
        <v>500</v>
      </c>
      <c r="E45" s="18">
        <f t="shared" si="14"/>
        <v>1000</v>
      </c>
      <c r="F45" s="18">
        <f t="shared" si="14"/>
        <v>1500</v>
      </c>
      <c r="G45" s="19">
        <f t="shared" si="14"/>
        <v>2000</v>
      </c>
      <c r="H45" s="18">
        <f t="shared" si="14"/>
        <v>2000</v>
      </c>
      <c r="I45" s="18">
        <f t="shared" si="14"/>
        <v>2000</v>
      </c>
      <c r="J45" s="18">
        <f t="shared" si="14"/>
        <v>2000</v>
      </c>
      <c r="K45" s="18">
        <f t="shared" si="14"/>
        <v>2000</v>
      </c>
      <c r="L45" s="18">
        <f t="shared" si="14"/>
        <v>2000</v>
      </c>
      <c r="M45" s="18">
        <f t="shared" si="14"/>
        <v>2000</v>
      </c>
      <c r="N45" s="18">
        <f t="shared" si="14"/>
        <v>2000</v>
      </c>
      <c r="O45" s="18">
        <f t="shared" si="14"/>
        <v>2000</v>
      </c>
      <c r="P45" s="18">
        <f t="shared" si="14"/>
        <v>2000</v>
      </c>
      <c r="Q45" s="18">
        <f t="shared" si="14"/>
        <v>2000</v>
      </c>
      <c r="R45" s="18">
        <f t="shared" si="14"/>
        <v>2000</v>
      </c>
      <c r="S45" s="18">
        <f t="shared" si="14"/>
        <v>2000</v>
      </c>
      <c r="T45" s="18">
        <f t="shared" si="14"/>
        <v>2000</v>
      </c>
      <c r="U45" s="18" t="s">
        <v>38</v>
      </c>
    </row>
    <row r="46" spans="1:21" x14ac:dyDescent="0.2">
      <c r="B46" s="7" t="s">
        <v>65</v>
      </c>
      <c r="C46" s="5">
        <f t="shared" ref="C46:T46" si="15">C44*(BASETOKENS/10^BASEDECIMALS)</f>
        <v>1E+18</v>
      </c>
      <c r="D46" s="5">
        <f t="shared" si="15"/>
        <v>5E+20</v>
      </c>
      <c r="E46" s="5">
        <f t="shared" si="15"/>
        <v>1E+21</v>
      </c>
      <c r="F46" s="5">
        <f t="shared" si="15"/>
        <v>1.5E+21</v>
      </c>
      <c r="G46" s="11">
        <f t="shared" si="15"/>
        <v>2E+21</v>
      </c>
      <c r="H46" s="5">
        <f t="shared" si="15"/>
        <v>2E+21</v>
      </c>
      <c r="I46" s="5">
        <f t="shared" si="15"/>
        <v>2E+21</v>
      </c>
      <c r="J46" s="5">
        <f t="shared" si="15"/>
        <v>2E+21</v>
      </c>
      <c r="K46" s="5">
        <f t="shared" si="15"/>
        <v>2E+21</v>
      </c>
      <c r="L46" s="5">
        <f t="shared" si="15"/>
        <v>2E+21</v>
      </c>
      <c r="M46" s="5">
        <f t="shared" si="15"/>
        <v>2E+21</v>
      </c>
      <c r="N46" s="5">
        <f t="shared" si="15"/>
        <v>2E+21</v>
      </c>
      <c r="O46" s="5">
        <f t="shared" si="15"/>
        <v>2E+21</v>
      </c>
      <c r="P46" s="5">
        <f t="shared" si="15"/>
        <v>2E+21</v>
      </c>
      <c r="Q46" s="5">
        <f t="shared" si="15"/>
        <v>2E+21</v>
      </c>
      <c r="R46" s="5">
        <f t="shared" si="15"/>
        <v>2E+21</v>
      </c>
      <c r="S46" s="5">
        <f t="shared" si="15"/>
        <v>2E+21</v>
      </c>
      <c r="T46" s="5">
        <f t="shared" si="15"/>
        <v>2E+21</v>
      </c>
    </row>
    <row r="47" spans="1:21" x14ac:dyDescent="0.2">
      <c r="B47" s="16" t="s">
        <v>33</v>
      </c>
      <c r="C47">
        <f>C48/10^18</f>
        <v>1</v>
      </c>
      <c r="D47">
        <f t="shared" ref="D47:T47" si="16">D48/10^18</f>
        <v>1</v>
      </c>
      <c r="E47">
        <f t="shared" si="16"/>
        <v>1</v>
      </c>
      <c r="F47">
        <f t="shared" si="16"/>
        <v>1</v>
      </c>
      <c r="G47" s="8">
        <f t="shared" si="16"/>
        <v>1</v>
      </c>
      <c r="H47">
        <f t="shared" si="16"/>
        <v>0.8</v>
      </c>
      <c r="I47">
        <f t="shared" si="16"/>
        <v>0.66666666666666663</v>
      </c>
      <c r="J47">
        <f t="shared" si="16"/>
        <v>0.5</v>
      </c>
      <c r="K47">
        <f t="shared" si="16"/>
        <v>0.4</v>
      </c>
      <c r="L47">
        <f t="shared" si="16"/>
        <v>0.2</v>
      </c>
      <c r="M47">
        <f t="shared" si="16"/>
        <v>0.08</v>
      </c>
      <c r="N47">
        <f t="shared" si="16"/>
        <v>0.04</v>
      </c>
      <c r="O47">
        <f t="shared" si="16"/>
        <v>2.6666666666666668E-2</v>
      </c>
      <c r="P47">
        <f t="shared" si="16"/>
        <v>0.02</v>
      </c>
      <c r="Q47">
        <f t="shared" si="16"/>
        <v>0.01</v>
      </c>
      <c r="R47">
        <f t="shared" si="16"/>
        <v>6.6666666666666671E-3</v>
      </c>
      <c r="S47">
        <f t="shared" si="16"/>
        <v>5.0000000000000001E-3</v>
      </c>
      <c r="T47">
        <f t="shared" si="16"/>
        <v>4.0000000000000001E-3</v>
      </c>
      <c r="U47" t="s">
        <v>37</v>
      </c>
    </row>
    <row r="48" spans="1:21" x14ac:dyDescent="0.2">
      <c r="B48" s="7" t="s">
        <v>56</v>
      </c>
      <c r="C48" s="5">
        <f t="shared" ref="C48:T48" si="17">C44/(C$34/10^RATEDECIMALS)</f>
        <v>1E+18</v>
      </c>
      <c r="D48" s="5">
        <f t="shared" si="17"/>
        <v>1E+18</v>
      </c>
      <c r="E48" s="5">
        <f t="shared" si="17"/>
        <v>1E+18</v>
      </c>
      <c r="F48" s="5">
        <f t="shared" si="17"/>
        <v>1E+18</v>
      </c>
      <c r="G48" s="11">
        <f t="shared" si="17"/>
        <v>1E+18</v>
      </c>
      <c r="H48" s="5">
        <f t="shared" si="17"/>
        <v>8E+17</v>
      </c>
      <c r="I48" s="5">
        <f t="shared" si="17"/>
        <v>6.6666666666666662E+17</v>
      </c>
      <c r="J48" s="5">
        <f t="shared" si="17"/>
        <v>5E+17</v>
      </c>
      <c r="K48" s="5">
        <f t="shared" si="17"/>
        <v>4E+17</v>
      </c>
      <c r="L48" s="5">
        <f t="shared" si="17"/>
        <v>2E+17</v>
      </c>
      <c r="M48" s="5">
        <f t="shared" si="17"/>
        <v>8E+16</v>
      </c>
      <c r="N48" s="5">
        <f t="shared" si="17"/>
        <v>4E+16</v>
      </c>
      <c r="O48" s="5">
        <f t="shared" si="17"/>
        <v>2.6666666666666668E+16</v>
      </c>
      <c r="P48" s="5">
        <f t="shared" si="17"/>
        <v>2E+16</v>
      </c>
      <c r="Q48" s="5">
        <f t="shared" si="17"/>
        <v>1E+16</v>
      </c>
      <c r="R48" s="5">
        <f t="shared" si="17"/>
        <v>6666666666666667</v>
      </c>
      <c r="S48" s="5">
        <f t="shared" si="17"/>
        <v>5000000000000000</v>
      </c>
      <c r="T48" s="5">
        <f t="shared" si="17"/>
        <v>4000000000000000.5</v>
      </c>
    </row>
    <row r="49" spans="1:21" x14ac:dyDescent="0.2">
      <c r="B49" s="16" t="s">
        <v>34</v>
      </c>
      <c r="C49">
        <f>C50/10^18</f>
        <v>10</v>
      </c>
      <c r="D49">
        <f t="shared" ref="D49:T49" si="18">D50/10^18</f>
        <v>10</v>
      </c>
      <c r="E49">
        <f t="shared" si="18"/>
        <v>10</v>
      </c>
      <c r="F49">
        <f t="shared" si="18"/>
        <v>10</v>
      </c>
      <c r="G49" s="8">
        <f t="shared" si="18"/>
        <v>10</v>
      </c>
      <c r="H49">
        <f t="shared" si="18"/>
        <v>8</v>
      </c>
      <c r="I49">
        <f t="shared" si="18"/>
        <v>6.6666666666666661</v>
      </c>
      <c r="J49">
        <f t="shared" si="18"/>
        <v>5</v>
      </c>
      <c r="K49">
        <f t="shared" si="18"/>
        <v>4</v>
      </c>
      <c r="L49">
        <f t="shared" si="18"/>
        <v>2</v>
      </c>
      <c r="M49">
        <f t="shared" si="18"/>
        <v>0.8</v>
      </c>
      <c r="N49">
        <f t="shared" si="18"/>
        <v>0.4</v>
      </c>
      <c r="O49">
        <f t="shared" si="18"/>
        <v>0.26666666666666666</v>
      </c>
      <c r="P49">
        <f t="shared" si="18"/>
        <v>0.2</v>
      </c>
      <c r="Q49">
        <f t="shared" si="18"/>
        <v>0.1</v>
      </c>
      <c r="R49">
        <f t="shared" si="18"/>
        <v>6.6666666666666666E-2</v>
      </c>
      <c r="S49">
        <f t="shared" si="18"/>
        <v>0.05</v>
      </c>
      <c r="T49">
        <f t="shared" si="18"/>
        <v>4.0000000000000008E-2</v>
      </c>
      <c r="U49" t="s">
        <v>37</v>
      </c>
    </row>
    <row r="50" spans="1:21" x14ac:dyDescent="0.2">
      <c r="B50" s="12" t="s">
        <v>53</v>
      </c>
      <c r="C50" s="6">
        <f t="shared" ref="C50:T50" si="19">C48*(BASETOKENS/10^BASEDECIMALS)</f>
        <v>1E+19</v>
      </c>
      <c r="D50" s="6">
        <f t="shared" si="19"/>
        <v>1E+19</v>
      </c>
      <c r="E50" s="6">
        <f t="shared" si="19"/>
        <v>1E+19</v>
      </c>
      <c r="F50" s="6">
        <f t="shared" si="19"/>
        <v>1E+19</v>
      </c>
      <c r="G50" s="9">
        <f t="shared" si="19"/>
        <v>1E+19</v>
      </c>
      <c r="H50" s="6">
        <f t="shared" si="19"/>
        <v>8E+18</v>
      </c>
      <c r="I50" s="6">
        <f t="shared" si="19"/>
        <v>6.666666666666666E+18</v>
      </c>
      <c r="J50" s="6">
        <f t="shared" si="19"/>
        <v>5E+18</v>
      </c>
      <c r="K50" s="6">
        <f t="shared" si="19"/>
        <v>4E+18</v>
      </c>
      <c r="L50" s="6">
        <f t="shared" si="19"/>
        <v>2E+18</v>
      </c>
      <c r="M50" s="6">
        <f t="shared" si="19"/>
        <v>8E+17</v>
      </c>
      <c r="N50" s="6">
        <f t="shared" si="19"/>
        <v>4E+17</v>
      </c>
      <c r="O50" s="6">
        <f t="shared" si="19"/>
        <v>2.6666666666666669E+17</v>
      </c>
      <c r="P50" s="6">
        <f t="shared" si="19"/>
        <v>2E+17</v>
      </c>
      <c r="Q50" s="6">
        <f t="shared" si="19"/>
        <v>1E+17</v>
      </c>
      <c r="R50" s="6">
        <f t="shared" si="19"/>
        <v>6.6666666666666672E+16</v>
      </c>
      <c r="S50" s="6">
        <f t="shared" si="19"/>
        <v>5E+16</v>
      </c>
      <c r="T50" s="6">
        <f t="shared" si="19"/>
        <v>4.0000000000000008E+16</v>
      </c>
    </row>
    <row r="51" spans="1:21" x14ac:dyDescent="0.2">
      <c r="A51" t="s">
        <v>36</v>
      </c>
      <c r="B51" s="14" t="s">
        <v>40</v>
      </c>
      <c r="C51">
        <f t="shared" ref="C51" si="20">C35+C43</f>
        <v>200</v>
      </c>
      <c r="D51">
        <f>D35+D43</f>
        <v>200</v>
      </c>
      <c r="E51">
        <f t="shared" ref="E51:T51" si="21">E35+E43</f>
        <v>200</v>
      </c>
      <c r="F51">
        <f t="shared" si="21"/>
        <v>200</v>
      </c>
      <c r="G51" s="8">
        <f t="shared" si="21"/>
        <v>200</v>
      </c>
      <c r="H51">
        <f t="shared" si="21"/>
        <v>200</v>
      </c>
      <c r="I51">
        <f t="shared" si="21"/>
        <v>200</v>
      </c>
      <c r="J51">
        <f t="shared" si="21"/>
        <v>200</v>
      </c>
      <c r="K51">
        <f t="shared" si="21"/>
        <v>200</v>
      </c>
      <c r="L51">
        <f t="shared" si="21"/>
        <v>200</v>
      </c>
      <c r="M51">
        <f t="shared" si="21"/>
        <v>200</v>
      </c>
      <c r="N51">
        <f t="shared" si="21"/>
        <v>200</v>
      </c>
      <c r="O51">
        <f t="shared" si="21"/>
        <v>200</v>
      </c>
      <c r="P51">
        <f t="shared" si="21"/>
        <v>200</v>
      </c>
      <c r="Q51">
        <f t="shared" si="21"/>
        <v>200</v>
      </c>
      <c r="R51">
        <f t="shared" si="21"/>
        <v>200</v>
      </c>
      <c r="S51">
        <f t="shared" si="21"/>
        <v>200</v>
      </c>
      <c r="T51">
        <f t="shared" si="21"/>
        <v>200</v>
      </c>
      <c r="U51" t="s">
        <v>38</v>
      </c>
    </row>
    <row r="52" spans="1:21" x14ac:dyDescent="0.2">
      <c r="B52" s="14" t="s">
        <v>41</v>
      </c>
      <c r="C52">
        <f t="shared" ref="C52:J52" si="22">C37+C45</f>
        <v>2000</v>
      </c>
      <c r="D52">
        <f t="shared" si="22"/>
        <v>2000</v>
      </c>
      <c r="E52">
        <f t="shared" si="22"/>
        <v>2000</v>
      </c>
      <c r="F52">
        <f t="shared" si="22"/>
        <v>2000</v>
      </c>
      <c r="G52" s="8">
        <f t="shared" si="22"/>
        <v>2000</v>
      </c>
      <c r="H52">
        <f t="shared" si="22"/>
        <v>2000</v>
      </c>
      <c r="I52">
        <f t="shared" si="22"/>
        <v>2000</v>
      </c>
      <c r="J52">
        <f t="shared" si="22"/>
        <v>2000</v>
      </c>
      <c r="K52">
        <f t="shared" ref="K52:Q52" si="23">K37+K45</f>
        <v>2000</v>
      </c>
      <c r="L52">
        <f t="shared" si="23"/>
        <v>2000</v>
      </c>
      <c r="M52">
        <f t="shared" si="23"/>
        <v>2000</v>
      </c>
      <c r="N52">
        <f t="shared" si="23"/>
        <v>2000</v>
      </c>
      <c r="O52">
        <f t="shared" si="23"/>
        <v>2000</v>
      </c>
      <c r="P52">
        <f t="shared" si="23"/>
        <v>2000</v>
      </c>
      <c r="Q52">
        <f t="shared" si="23"/>
        <v>2000</v>
      </c>
      <c r="R52">
        <f>R37+R45</f>
        <v>2000</v>
      </c>
      <c r="S52">
        <f>S37+S45</f>
        <v>2000</v>
      </c>
      <c r="T52">
        <f>T37+T45</f>
        <v>2000</v>
      </c>
      <c r="U52" t="s">
        <v>38</v>
      </c>
    </row>
    <row r="53" spans="1:21" x14ac:dyDescent="0.2">
      <c r="B53" s="16" t="s">
        <v>42</v>
      </c>
      <c r="C53">
        <f t="shared" ref="C53:J53" si="24">C39+C47</f>
        <v>2000</v>
      </c>
      <c r="D53">
        <f t="shared" si="24"/>
        <v>4</v>
      </c>
      <c r="E53">
        <f t="shared" si="24"/>
        <v>2</v>
      </c>
      <c r="F53">
        <f t="shared" si="24"/>
        <v>1.3333333333333333</v>
      </c>
      <c r="G53" s="8">
        <f t="shared" si="24"/>
        <v>1</v>
      </c>
      <c r="H53">
        <f t="shared" si="24"/>
        <v>0.8</v>
      </c>
      <c r="I53">
        <f t="shared" si="24"/>
        <v>0.66666666666666663</v>
      </c>
      <c r="J53">
        <f t="shared" si="24"/>
        <v>0.5</v>
      </c>
      <c r="K53">
        <f t="shared" ref="K53:Q53" si="25">K39+K47</f>
        <v>0.4</v>
      </c>
      <c r="L53">
        <f t="shared" si="25"/>
        <v>0.2</v>
      </c>
      <c r="M53">
        <f t="shared" si="25"/>
        <v>0.08</v>
      </c>
      <c r="N53">
        <f t="shared" si="25"/>
        <v>0.04</v>
      </c>
      <c r="O53">
        <f t="shared" si="25"/>
        <v>2.6666666666666668E-2</v>
      </c>
      <c r="P53">
        <f t="shared" si="25"/>
        <v>0.02</v>
      </c>
      <c r="Q53">
        <f t="shared" si="25"/>
        <v>0.01</v>
      </c>
      <c r="R53">
        <f>R39+R47</f>
        <v>6.6666666666666671E-3</v>
      </c>
      <c r="S53">
        <f>S39+S47</f>
        <v>5.0000000000000001E-3</v>
      </c>
      <c r="T53">
        <f>T39+T47</f>
        <v>4.0000000000000001E-3</v>
      </c>
      <c r="U53" t="s">
        <v>37</v>
      </c>
    </row>
    <row r="54" spans="1:21" x14ac:dyDescent="0.2">
      <c r="B54" s="17" t="s">
        <v>43</v>
      </c>
      <c r="C54" s="1">
        <f t="shared" ref="C54:J54" si="26">C41+C49</f>
        <v>20000</v>
      </c>
      <c r="D54" s="1">
        <f t="shared" si="26"/>
        <v>40</v>
      </c>
      <c r="E54" s="1">
        <f t="shared" si="26"/>
        <v>20</v>
      </c>
      <c r="F54" s="1">
        <f t="shared" si="26"/>
        <v>13.333333333333332</v>
      </c>
      <c r="G54" s="13">
        <f t="shared" si="26"/>
        <v>10</v>
      </c>
      <c r="H54" s="1">
        <f t="shared" si="26"/>
        <v>8</v>
      </c>
      <c r="I54" s="1">
        <f t="shared" si="26"/>
        <v>6.6666666666666661</v>
      </c>
      <c r="J54" s="1">
        <f t="shared" si="26"/>
        <v>5</v>
      </c>
      <c r="K54" s="1">
        <f t="shared" ref="K54:Q54" si="27">K41+K49</f>
        <v>4</v>
      </c>
      <c r="L54" s="1">
        <f t="shared" si="27"/>
        <v>2</v>
      </c>
      <c r="M54" s="1">
        <f t="shared" si="27"/>
        <v>0.8</v>
      </c>
      <c r="N54" s="1">
        <f t="shared" si="27"/>
        <v>0.4</v>
      </c>
      <c r="O54" s="1">
        <f t="shared" si="27"/>
        <v>0.26666666666666666</v>
      </c>
      <c r="P54" s="1">
        <f t="shared" si="27"/>
        <v>0.2</v>
      </c>
      <c r="Q54" s="1">
        <f t="shared" si="27"/>
        <v>0.1</v>
      </c>
      <c r="R54" s="1">
        <f>R41+R49</f>
        <v>6.6666666666666666E-2</v>
      </c>
      <c r="S54" s="1">
        <f>S41+S49</f>
        <v>0.05</v>
      </c>
      <c r="T54" s="1">
        <f>T41+T49</f>
        <v>4.0000000000000008E-2</v>
      </c>
      <c r="U54" t="s">
        <v>37</v>
      </c>
    </row>
    <row r="55" spans="1:21" x14ac:dyDescent="0.2">
      <c r="B55" s="7" t="s">
        <v>44</v>
      </c>
      <c r="C55">
        <f t="shared" ref="C55:S55" si="28">C51-C33</f>
        <v>199.9</v>
      </c>
      <c r="D55">
        <f t="shared" si="28"/>
        <v>150</v>
      </c>
      <c r="E55">
        <f t="shared" si="28"/>
        <v>100</v>
      </c>
      <c r="F55">
        <f t="shared" si="28"/>
        <v>50</v>
      </c>
      <c r="G55">
        <f t="shared" si="28"/>
        <v>0</v>
      </c>
      <c r="H55">
        <f t="shared" si="28"/>
        <v>-50</v>
      </c>
      <c r="I55">
        <f t="shared" si="28"/>
        <v>-100</v>
      </c>
      <c r="J55">
        <f t="shared" si="28"/>
        <v>-200</v>
      </c>
      <c r="K55">
        <f t="shared" si="28"/>
        <v>-300</v>
      </c>
      <c r="L55">
        <f t="shared" si="28"/>
        <v>-800</v>
      </c>
      <c r="M55">
        <f t="shared" si="28"/>
        <v>-2300</v>
      </c>
      <c r="N55">
        <f t="shared" si="28"/>
        <v>-4800</v>
      </c>
      <c r="O55">
        <f t="shared" si="28"/>
        <v>-7300</v>
      </c>
      <c r="P55">
        <f t="shared" si="28"/>
        <v>-9800</v>
      </c>
      <c r="Q55">
        <f t="shared" si="28"/>
        <v>-19800</v>
      </c>
      <c r="R55">
        <f t="shared" si="28"/>
        <v>-29800</v>
      </c>
      <c r="S55">
        <f t="shared" si="28"/>
        <v>-39800</v>
      </c>
      <c r="T55">
        <f>T51-T33</f>
        <v>-49800</v>
      </c>
    </row>
    <row r="57" spans="1:21" x14ac:dyDescent="0.2">
      <c r="B57" s="3" t="s">
        <v>45</v>
      </c>
      <c r="C57" s="1">
        <f>C33</f>
        <v>0.1</v>
      </c>
      <c r="D57" s="1">
        <f t="shared" ref="D57:T57" si="29">D33</f>
        <v>50</v>
      </c>
      <c r="E57" s="1">
        <f t="shared" si="29"/>
        <v>100</v>
      </c>
      <c r="F57" s="1">
        <f t="shared" si="29"/>
        <v>150</v>
      </c>
      <c r="G57" s="13">
        <f t="shared" si="29"/>
        <v>200</v>
      </c>
      <c r="H57" s="1">
        <f t="shared" si="29"/>
        <v>250</v>
      </c>
      <c r="I57" s="1">
        <f t="shared" si="29"/>
        <v>300</v>
      </c>
      <c r="J57" s="1">
        <f t="shared" si="29"/>
        <v>400</v>
      </c>
      <c r="K57" s="1">
        <f t="shared" si="29"/>
        <v>500</v>
      </c>
      <c r="L57" s="1">
        <f t="shared" si="29"/>
        <v>1000</v>
      </c>
      <c r="M57" s="1">
        <f t="shared" si="29"/>
        <v>2500</v>
      </c>
      <c r="N57" s="1">
        <f t="shared" si="29"/>
        <v>5000</v>
      </c>
      <c r="O57" s="1">
        <f t="shared" si="29"/>
        <v>7500</v>
      </c>
      <c r="P57" s="1">
        <f t="shared" si="29"/>
        <v>10000</v>
      </c>
      <c r="Q57" s="1">
        <f t="shared" si="29"/>
        <v>20000</v>
      </c>
      <c r="R57" s="1">
        <f t="shared" si="29"/>
        <v>30000</v>
      </c>
      <c r="S57" s="1">
        <f t="shared" si="29"/>
        <v>40000</v>
      </c>
      <c r="T57" s="1">
        <f t="shared" si="29"/>
        <v>50000</v>
      </c>
    </row>
    <row r="58" spans="1:21" x14ac:dyDescent="0.2">
      <c r="B58" s="2" t="s">
        <v>58</v>
      </c>
      <c r="C58">
        <f>C35</f>
        <v>199.9</v>
      </c>
      <c r="D58">
        <f t="shared" ref="D58:T58" si="30">D35</f>
        <v>150</v>
      </c>
      <c r="E58">
        <f t="shared" si="30"/>
        <v>100</v>
      </c>
      <c r="F58">
        <f t="shared" si="30"/>
        <v>50</v>
      </c>
      <c r="G58" s="8">
        <f t="shared" si="30"/>
        <v>0</v>
      </c>
      <c r="H58">
        <f t="shared" si="30"/>
        <v>0</v>
      </c>
      <c r="I58">
        <f t="shared" si="30"/>
        <v>0</v>
      </c>
      <c r="J58">
        <f t="shared" si="30"/>
        <v>0</v>
      </c>
      <c r="K58">
        <f t="shared" si="30"/>
        <v>0</v>
      </c>
      <c r="L58">
        <f t="shared" si="30"/>
        <v>0</v>
      </c>
      <c r="M58">
        <f t="shared" si="30"/>
        <v>0</v>
      </c>
      <c r="N58">
        <f t="shared" si="30"/>
        <v>0</v>
      </c>
      <c r="O58">
        <f t="shared" si="30"/>
        <v>0</v>
      </c>
      <c r="P58">
        <f t="shared" si="30"/>
        <v>0</v>
      </c>
      <c r="Q58">
        <f t="shared" si="30"/>
        <v>0</v>
      </c>
      <c r="R58">
        <f t="shared" si="30"/>
        <v>0</v>
      </c>
      <c r="S58">
        <f t="shared" si="30"/>
        <v>0</v>
      </c>
      <c r="T58">
        <f t="shared" si="30"/>
        <v>0</v>
      </c>
    </row>
    <row r="59" spans="1:21" x14ac:dyDescent="0.2">
      <c r="B59" s="2" t="s">
        <v>31</v>
      </c>
      <c r="C59">
        <f>C43</f>
        <v>0.1</v>
      </c>
      <c r="D59">
        <f t="shared" ref="D59:T59" si="31">D43</f>
        <v>50</v>
      </c>
      <c r="E59">
        <f t="shared" si="31"/>
        <v>100</v>
      </c>
      <c r="F59">
        <f t="shared" si="31"/>
        <v>150</v>
      </c>
      <c r="G59" s="8">
        <f t="shared" si="31"/>
        <v>200</v>
      </c>
      <c r="H59">
        <f t="shared" si="31"/>
        <v>200</v>
      </c>
      <c r="I59">
        <f t="shared" si="31"/>
        <v>200</v>
      </c>
      <c r="J59">
        <f t="shared" si="31"/>
        <v>200</v>
      </c>
      <c r="K59">
        <f t="shared" si="31"/>
        <v>200</v>
      </c>
      <c r="L59">
        <f t="shared" si="31"/>
        <v>200</v>
      </c>
      <c r="M59">
        <f t="shared" si="31"/>
        <v>200</v>
      </c>
      <c r="N59">
        <f t="shared" si="31"/>
        <v>200</v>
      </c>
      <c r="O59">
        <f t="shared" si="31"/>
        <v>200</v>
      </c>
      <c r="P59">
        <f t="shared" si="31"/>
        <v>200</v>
      </c>
      <c r="Q59">
        <f t="shared" si="31"/>
        <v>200</v>
      </c>
      <c r="R59">
        <f t="shared" si="31"/>
        <v>200</v>
      </c>
      <c r="S59">
        <f t="shared" si="31"/>
        <v>200</v>
      </c>
      <c r="T59">
        <f t="shared" si="31"/>
        <v>200</v>
      </c>
    </row>
    <row r="60" spans="1:21" x14ac:dyDescent="0.2">
      <c r="B60" s="2" t="s">
        <v>41</v>
      </c>
      <c r="C60">
        <f>C58+C59</f>
        <v>200</v>
      </c>
      <c r="D60">
        <f t="shared" ref="D60:T60" si="32">D58+D59</f>
        <v>200</v>
      </c>
      <c r="E60">
        <f t="shared" si="32"/>
        <v>200</v>
      </c>
      <c r="F60">
        <f t="shared" si="32"/>
        <v>200</v>
      </c>
      <c r="G60" s="8">
        <f t="shared" si="32"/>
        <v>200</v>
      </c>
      <c r="H60">
        <f t="shared" si="32"/>
        <v>200</v>
      </c>
      <c r="I60">
        <f t="shared" si="32"/>
        <v>200</v>
      </c>
      <c r="J60">
        <f t="shared" si="32"/>
        <v>200</v>
      </c>
      <c r="K60">
        <f t="shared" si="32"/>
        <v>200</v>
      </c>
      <c r="L60">
        <f t="shared" si="32"/>
        <v>200</v>
      </c>
      <c r="M60">
        <f t="shared" si="32"/>
        <v>200</v>
      </c>
      <c r="N60">
        <f t="shared" si="32"/>
        <v>200</v>
      </c>
      <c r="O60">
        <f t="shared" si="32"/>
        <v>200</v>
      </c>
      <c r="P60">
        <f t="shared" si="32"/>
        <v>200</v>
      </c>
      <c r="Q60">
        <f t="shared" si="32"/>
        <v>200</v>
      </c>
      <c r="R60">
        <f t="shared" si="32"/>
        <v>200</v>
      </c>
      <c r="S60">
        <f t="shared" si="32"/>
        <v>200</v>
      </c>
      <c r="T60">
        <f t="shared" si="32"/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BoundedOptinos</vt:lpstr>
      <vt:lpstr>CallFormula</vt:lpstr>
      <vt:lpstr>PutFormula</vt:lpstr>
      <vt:lpstr>PutFormula!BASEDECIMALS</vt:lpstr>
      <vt:lpstr>BASEDECIMALS</vt:lpstr>
      <vt:lpstr>PutFormula!BASETOKENS</vt:lpstr>
      <vt:lpstr>BASETOKENS</vt:lpstr>
      <vt:lpstr>RATEDECIMALS</vt:lpstr>
      <vt:lpstr>PutFormula!STRIKE</vt:lpstr>
      <vt:lpstr>STRIKE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2020-01-20T05:18:17Z</dcterms:created>
  <dcterms:modified xsi:type="dcterms:W3CDTF">2020-04-19T08:37:13Z</dcterms:modified>
</cp:coreProperties>
</file>